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9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  <font>
      <name val="Calibri"/>
      <b val="1"/>
      <color rgb="000F172A"/>
      <sz val="10"/>
    </font>
    <font>
      <name val="Calibri"/>
      <b val="1"/>
      <color rgb="001E3A8A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color rgb="0094A3B8"/>
      <sz val="10"/>
    </font>
    <font>
      <name val="Calibri"/>
      <color rgb="000F172A"/>
      <sz val="10"/>
    </font>
    <font>
      <name val="Calibri"/>
      <b val="1"/>
      <color rgb="001E293B"/>
      <sz val="12"/>
    </font>
    <font>
      <name val="Calibri"/>
      <b val="1"/>
      <color rgb="00FFFFFF"/>
      <sz val="10"/>
    </font>
    <font>
      <name val="Calibri"/>
      <b val="1"/>
      <color rgb="001E3A8A"/>
      <sz val="11"/>
    </font>
  </fonts>
  <fills count="15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/>
    </fill>
    <fill>
      <patternFill patternType="solid">
        <fgColor rgb="00DC2626"/>
        <bgColor rgb="00DC2626"/>
      </patternFill>
    </fill>
    <fill>
      <patternFill patternType="solid">
        <fgColor rgb="009333EA"/>
        <bgColor rgb="009333EA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</fills>
  <borders count="7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/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3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3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6" pivotButton="0" quotePrefix="0" xfId="0"/>
    <xf numFmtId="0" fontId="17" fillId="3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3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3" fontId="14" fillId="0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8" customWidth="1" min="3" max="3"/>
    <col width="12" customWidth="1" min="4" max="4"/>
    <col width="10" customWidth="1" min="5" max="5"/>
    <col width="11" customWidth="1" min="6" max="6"/>
    <col width="14" customWidth="1" min="7" max="7"/>
    <col width="11" customWidth="1" min="8" max="8"/>
    <col width="14" customWidth="1" min="9" max="9"/>
    <col width="13" customWidth="1" min="10" max="10"/>
    <col width="13" customWidth="1" min="11" max="11"/>
    <col width="13" customWidth="1" min="12" max="12"/>
    <col width="14" customWidth="1" min="13" max="13"/>
    <col width="12" customWidth="1" min="14" max="14"/>
    <col width="15" customWidth="1" min="15" max="15"/>
    <col width="14" customWidth="1" min="16" max="16"/>
    <col width="20" customWidth="1" min="17" max="17"/>
  </cols>
  <sheetData>
    <row r="2">
      <c r="B2" s="1" t="inlineStr">
        <is>
          <t>СВОДНЫЙ ОТЧЕТ ПО ИНФЛЮЕНСЕРАМ И АУДИТУ СПЕЦИАЛИСТОВ</t>
        </is>
      </c>
    </row>
    <row r="3">
      <c r="B3" s="80" t="inlineStr">
        <is>
          <t>📅 Дата и время формирования отчета: 05.09.2026 в 18:01:23 МСК | 60 аккаунтов | Рабочая смена: 10:00 –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A9" s="58" t="n"/>
      <c r="B9" s="59" t="inlineStr">
        <is>
          <t>СВОДНАЯ МАТРИЦА МЕТРИК ПО КАЖДОЙ СОЦСЕТИ (ДЛЯ РУКОВОДСТВА)</t>
        </is>
      </c>
      <c r="C9" s="58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</row>
    <row r="10" ht="32" customHeight="1">
      <c r="A10" s="58" t="n"/>
      <c r="B10" s="60" t="inlineStr">
        <is>
          <t>№</t>
        </is>
      </c>
      <c r="C10" s="60" t="inlineStr">
        <is>
          <t>Инфлюенсер</t>
        </is>
      </c>
      <c r="D10" s="60" t="inlineStr">
        <is>
          <t>ГЕО</t>
        </is>
      </c>
      <c r="E10" s="60" t="inlineStr">
        <is>
          <t>Спец</t>
        </is>
      </c>
      <c r="F10" s="61" t="inlineStr">
        <is>
          <t>TikTok
Посты</t>
        </is>
      </c>
      <c r="G10" s="61" t="inlineStr">
        <is>
          <t>TikTok
Просмотры</t>
        </is>
      </c>
      <c r="H10" s="62" t="inlineStr">
        <is>
          <t>YouTube
Видео</t>
        </is>
      </c>
      <c r="I10" s="62" t="inlineStr">
        <is>
          <t>YouTube
Просмотры</t>
        </is>
      </c>
      <c r="J10" s="63" t="inlineStr">
        <is>
          <t>Instagram
Посты</t>
        </is>
      </c>
      <c r="K10" s="64" t="inlineStr">
        <is>
          <t>Facebook
Посты</t>
        </is>
      </c>
      <c r="L10" s="65" t="inlineStr">
        <is>
          <t>Threads
Посты</t>
        </is>
      </c>
      <c r="M10" s="66" t="inlineStr">
        <is>
          <t>X (Twitter)
Статус / Фолл</t>
        </is>
      </c>
      <c r="N10" s="67" t="inlineStr">
        <is>
          <t>ИТОГО
Постов</t>
        </is>
      </c>
      <c r="O10" s="67" t="inlineStr">
        <is>
          <t>ИТОГО
Просмотров</t>
        </is>
      </c>
      <c r="P10" s="67" t="inlineStr">
        <is>
          <t>ИТОГО
Подписчиков</t>
        </is>
      </c>
      <c r="Q10" s="60" t="inlineStr">
        <is>
          <t>ХОТ ПОСТ (Рекорд)</t>
        </is>
      </c>
      <c r="R10" s="58" t="n"/>
      <c r="S10" s="58" t="n"/>
    </row>
    <row r="11">
      <c r="A11" s="58" t="n"/>
      <c r="B11" s="32" t="n">
        <v>1</v>
      </c>
      <c r="C11" s="37" t="inlineStr">
        <is>
          <t>Алеся Бут</t>
        </is>
      </c>
      <c r="D11" s="32" t="inlineStr">
        <is>
          <t>Беларусь</t>
        </is>
      </c>
      <c r="E11" s="38" t="inlineStr">
        <is>
          <t>Лёша</t>
        </is>
      </c>
      <c r="F11" s="39" t="n">
        <v>7</v>
      </c>
      <c r="G11" s="11" t="n">
        <v>5243</v>
      </c>
      <c r="H11" s="39" t="n">
        <v>5</v>
      </c>
      <c r="I11" s="11" t="n">
        <v>8403</v>
      </c>
      <c r="J11" s="68" t="n">
        <v>5</v>
      </c>
      <c r="K11" s="69" t="n">
        <v>4</v>
      </c>
      <c r="L11" s="69" t="n">
        <v>2</v>
      </c>
      <c r="M11" s="41" t="inlineStr">
        <is>
          <t>🟢 0 фолл.</t>
        </is>
      </c>
      <c r="N11" s="39">
        <f>SUM(F11,H11,J11,K11,L11)</f>
        <v/>
      </c>
      <c r="O11" s="42">
        <f>G11+I11</f>
        <v/>
      </c>
      <c r="P11" s="42" t="n">
        <v>16</v>
      </c>
      <c r="Q11" s="26" t="inlineStr">
        <is>
          <t>YouTube: 5,000 views</t>
        </is>
      </c>
      <c r="R11" s="58" t="n"/>
      <c r="S11" s="58" t="n"/>
    </row>
    <row r="12">
      <c r="A12" s="58" t="n"/>
      <c r="B12" s="34" t="n">
        <v>2</v>
      </c>
      <c r="C12" s="43" t="inlineStr">
        <is>
          <t>Ян Верса</t>
        </is>
      </c>
      <c r="D12" s="34" t="inlineStr">
        <is>
          <t>Беларусь</t>
        </is>
      </c>
      <c r="E12" s="44" t="inlineStr">
        <is>
          <t>Лёша</t>
        </is>
      </c>
      <c r="F12" s="45" t="n">
        <v>6</v>
      </c>
      <c r="G12" s="15" t="n">
        <v>3570</v>
      </c>
      <c r="H12" s="45" t="n">
        <v>5</v>
      </c>
      <c r="I12" s="15" t="n">
        <v>4200</v>
      </c>
      <c r="J12" s="68" t="n">
        <v>5</v>
      </c>
      <c r="K12" s="69" t="n">
        <v>4</v>
      </c>
      <c r="L12" s="69" t="n">
        <v>2</v>
      </c>
      <c r="M12" s="41" t="inlineStr">
        <is>
          <t>🟢 0 фолл.</t>
        </is>
      </c>
      <c r="N12" s="45">
        <f>SUM(F12,H12,J12,K12,L12)</f>
        <v/>
      </c>
      <c r="O12" s="46">
        <f>G12+I12</f>
        <v/>
      </c>
      <c r="P12" s="46" t="n">
        <v>6</v>
      </c>
      <c r="Q12" s="29" t="inlineStr">
        <is>
          <t>YouTube: 1,100 views</t>
        </is>
      </c>
      <c r="R12" s="58" t="n"/>
      <c r="S12" s="58" t="n"/>
    </row>
    <row r="13">
      <c r="A13" s="58" t="n"/>
      <c r="B13" s="32" t="n">
        <v>3</v>
      </c>
      <c r="C13" s="37" t="inlineStr">
        <is>
          <t>Baraka Otieno</t>
        </is>
      </c>
      <c r="D13" s="32" t="inlineStr">
        <is>
          <t>Кения</t>
        </is>
      </c>
      <c r="E13" s="38" t="inlineStr">
        <is>
          <t>Саша</t>
        </is>
      </c>
      <c r="F13" s="39" t="n">
        <v>5</v>
      </c>
      <c r="G13" s="11" t="n">
        <v>2717</v>
      </c>
      <c r="H13" s="39" t="n">
        <v>1</v>
      </c>
      <c r="I13" s="11" t="n">
        <v>2</v>
      </c>
      <c r="J13" s="70" t="n">
        <v>0</v>
      </c>
      <c r="K13" s="47" t="inlineStr">
        <is>
          <t>🔴 БАН</t>
        </is>
      </c>
      <c r="L13" s="71" t="n">
        <v>0</v>
      </c>
      <c r="M13" s="48" t="inlineStr">
        <is>
          <t>—</t>
        </is>
      </c>
      <c r="N13" s="39">
        <f>SUM(F13,H13,J13,K13,L13)</f>
        <v/>
      </c>
      <c r="O13" s="42">
        <f>G13+I13</f>
        <v/>
      </c>
      <c r="P13" s="42" t="n">
        <v>3</v>
      </c>
      <c r="Q13" s="26" t="inlineStr">
        <is>
          <t>TikTok: 875 views</t>
        </is>
      </c>
      <c r="R13" s="58" t="n"/>
      <c r="S13" s="58" t="n"/>
    </row>
    <row r="14">
      <c r="A14" s="58" t="n"/>
      <c r="B14" s="34" t="n">
        <v>4</v>
      </c>
      <c r="C14" s="43" t="inlineStr">
        <is>
          <t>Grace Muthioni</t>
        </is>
      </c>
      <c r="D14" s="34" t="inlineStr">
        <is>
          <t>Кения</t>
        </is>
      </c>
      <c r="E14" s="44" t="inlineStr">
        <is>
          <t>Саша</t>
        </is>
      </c>
      <c r="F14" s="45" t="n">
        <v>5</v>
      </c>
      <c r="G14" s="15" t="n">
        <v>1465</v>
      </c>
      <c r="H14" s="45" t="n">
        <v>1</v>
      </c>
      <c r="I14" s="15" t="n">
        <v>11</v>
      </c>
      <c r="J14" s="70" t="n">
        <v>0</v>
      </c>
      <c r="K14" s="69" t="n">
        <v>1</v>
      </c>
      <c r="L14" s="71" t="n">
        <v>0</v>
      </c>
      <c r="M14" s="48" t="inlineStr">
        <is>
          <t>—</t>
        </is>
      </c>
      <c r="N14" s="45">
        <f>SUM(F14,H14,J14,K14,L14)</f>
        <v/>
      </c>
      <c r="O14" s="46">
        <f>G14+I14</f>
        <v/>
      </c>
      <c r="P14" s="46" t="n">
        <v>3</v>
      </c>
      <c r="Q14" s="29" t="inlineStr">
        <is>
          <t>TikTok: 528 views</t>
        </is>
      </c>
      <c r="R14" s="58" t="n"/>
      <c r="S14" s="58" t="n"/>
    </row>
    <row r="15">
      <c r="A15" s="58" t="n"/>
      <c r="B15" s="32" t="n">
        <v>5</v>
      </c>
      <c r="C15" s="37" t="inlineStr">
        <is>
          <t>Kaan Turan</t>
        </is>
      </c>
      <c r="D15" s="32" t="inlineStr">
        <is>
          <t>Турция</t>
        </is>
      </c>
      <c r="E15" s="38" t="inlineStr">
        <is>
          <t>Саша</t>
        </is>
      </c>
      <c r="F15" s="39" t="n">
        <v>8</v>
      </c>
      <c r="G15" s="11" t="n">
        <v>5023</v>
      </c>
      <c r="H15" s="39" t="n">
        <v>1</v>
      </c>
      <c r="I15" s="11" t="n">
        <v>272</v>
      </c>
      <c r="J15" s="49" t="inlineStr">
        <is>
          <t>🔴 БАН</t>
        </is>
      </c>
      <c r="K15" s="47" t="inlineStr">
        <is>
          <t>🔴 БАН</t>
        </is>
      </c>
      <c r="L15" s="47" t="inlineStr">
        <is>
          <t>🔴 БАН</t>
        </is>
      </c>
      <c r="M15" s="48" t="inlineStr">
        <is>
          <t>—</t>
        </is>
      </c>
      <c r="N15" s="39">
        <f>SUM(F15,H15,J15,K15,L15)</f>
        <v/>
      </c>
      <c r="O15" s="42">
        <f>G15+I15</f>
        <v/>
      </c>
      <c r="P15" s="42" t="n">
        <v>5</v>
      </c>
      <c r="Q15" s="26" t="inlineStr">
        <is>
          <t>TikTok: 1,089 views</t>
        </is>
      </c>
      <c r="R15" s="58" t="n"/>
      <c r="S15" s="58" t="n"/>
    </row>
    <row r="16">
      <c r="A16" s="58" t="n"/>
      <c r="B16" s="34" t="n">
        <v>6</v>
      </c>
      <c r="C16" s="43" t="inlineStr">
        <is>
          <t>Melissa Kara</t>
        </is>
      </c>
      <c r="D16" s="34" t="inlineStr">
        <is>
          <t>Турция</t>
        </is>
      </c>
      <c r="E16" s="44" t="inlineStr">
        <is>
          <t>Саша</t>
        </is>
      </c>
      <c r="F16" s="45" t="n">
        <v>8</v>
      </c>
      <c r="G16" s="15" t="n">
        <v>4351</v>
      </c>
      <c r="H16" s="45" t="n">
        <v>1</v>
      </c>
      <c r="I16" s="15" t="n">
        <v>1100</v>
      </c>
      <c r="J16" s="49" t="inlineStr">
        <is>
          <t>🔴 БАН</t>
        </is>
      </c>
      <c r="K16" s="47" t="inlineStr">
        <is>
          <t>🔴 БАН</t>
        </is>
      </c>
      <c r="L16" s="47" t="inlineStr">
        <is>
          <t>🔴 БАН</t>
        </is>
      </c>
      <c r="M16" s="48" t="inlineStr">
        <is>
          <t>—</t>
        </is>
      </c>
      <c r="N16" s="45">
        <f>SUM(F16,H16,J16,K16,L16)</f>
        <v/>
      </c>
      <c r="O16" s="46">
        <f>G16+I16</f>
        <v/>
      </c>
      <c r="P16" s="46" t="n">
        <v>7</v>
      </c>
      <c r="Q16" s="29" t="inlineStr">
        <is>
          <t>YouTube: 1,100 views</t>
        </is>
      </c>
      <c r="R16" s="58" t="n"/>
      <c r="S16" s="58" t="n"/>
    </row>
    <row r="17">
      <c r="A17" s="58" t="n"/>
      <c r="B17" s="32" t="n">
        <v>7</v>
      </c>
      <c r="C17" s="37" t="inlineStr">
        <is>
          <t>Асель Исакова</t>
        </is>
      </c>
      <c r="D17" s="32" t="inlineStr">
        <is>
          <t>Кыргызстан</t>
        </is>
      </c>
      <c r="E17" s="38" t="inlineStr">
        <is>
          <t>Сёма</t>
        </is>
      </c>
      <c r="F17" s="39" t="n">
        <v>7</v>
      </c>
      <c r="G17" s="11" t="n">
        <v>23797</v>
      </c>
      <c r="H17" s="39" t="n">
        <v>7</v>
      </c>
      <c r="I17" s="11" t="n">
        <v>456323</v>
      </c>
      <c r="J17" s="68" t="n">
        <v>4</v>
      </c>
      <c r="K17" s="69" t="n">
        <v>4</v>
      </c>
      <c r="L17" s="69" t="n">
        <v>4</v>
      </c>
      <c r="M17" s="41" t="inlineStr">
        <is>
          <t>🟢 0 фолл.</t>
        </is>
      </c>
      <c r="N17" s="39">
        <f>SUM(F17,H17,J17,K17,L17)</f>
        <v/>
      </c>
      <c r="O17" s="42">
        <f>G17+I17</f>
        <v/>
      </c>
      <c r="P17" s="42" t="n">
        <v>596</v>
      </c>
      <c r="Q17" s="26" t="inlineStr">
        <is>
          <t>YouTube: 440,000 views</t>
        </is>
      </c>
      <c r="R17" s="58" t="n"/>
      <c r="S17" s="58" t="n"/>
    </row>
    <row r="18">
      <c r="A18" s="58" t="n"/>
      <c r="B18" s="34" t="n">
        <v>8</v>
      </c>
      <c r="C18" s="43" t="inlineStr">
        <is>
          <t>Тилек Асанов</t>
        </is>
      </c>
      <c r="D18" s="34" t="inlineStr">
        <is>
          <t>Кыргызстан</t>
        </is>
      </c>
      <c r="E18" s="44" t="inlineStr">
        <is>
          <t>Сёма</t>
        </is>
      </c>
      <c r="F18" s="45" t="n">
        <v>6</v>
      </c>
      <c r="G18" s="15" t="n">
        <v>2241</v>
      </c>
      <c r="H18" s="45" t="n">
        <v>6</v>
      </c>
      <c r="I18" s="15" t="n">
        <v>8309</v>
      </c>
      <c r="J18" s="68" t="n">
        <v>5</v>
      </c>
      <c r="K18" s="69" t="n">
        <v>4</v>
      </c>
      <c r="L18" s="69" t="n">
        <v>4</v>
      </c>
      <c r="M18" s="41" t="inlineStr">
        <is>
          <t>🟢 0 фолл.</t>
        </is>
      </c>
      <c r="N18" s="45">
        <f>SUM(F18,H18,J18,K18,L18)</f>
        <v/>
      </c>
      <c r="O18" s="46">
        <f>G18+I18</f>
        <v/>
      </c>
      <c r="P18" s="46" t="n">
        <v>12</v>
      </c>
      <c r="Q18" s="29" t="inlineStr">
        <is>
          <t>YouTube: 3,200 views</t>
        </is>
      </c>
      <c r="R18" s="58" t="n"/>
      <c r="S18" s="58" t="n"/>
    </row>
    <row r="19">
      <c r="A19" s="58" t="n"/>
      <c r="B19" s="32" t="n">
        <v>9</v>
      </c>
      <c r="C19" s="37" t="inlineStr">
        <is>
          <t>Lori Bennet</t>
        </is>
      </c>
      <c r="D19" s="32" t="inlineStr">
        <is>
          <t>Америка</t>
        </is>
      </c>
      <c r="E19" s="38" t="inlineStr">
        <is>
          <t>Даник</t>
        </is>
      </c>
      <c r="F19" s="39" t="n">
        <v>6</v>
      </c>
      <c r="G19" s="11" t="n">
        <v>1217</v>
      </c>
      <c r="H19" s="39" t="n">
        <v>5</v>
      </c>
      <c r="I19" s="11" t="n">
        <v>2721</v>
      </c>
      <c r="J19" s="68" t="n">
        <v>3</v>
      </c>
      <c r="K19" s="69" t="n">
        <v>2</v>
      </c>
      <c r="L19" s="69" t="n">
        <v>2</v>
      </c>
      <c r="M19" s="41" t="inlineStr">
        <is>
          <t>🟢 2 фолл.</t>
        </is>
      </c>
      <c r="N19" s="39">
        <f>SUM(F19,H19,J19,K19,L19)</f>
        <v/>
      </c>
      <c r="O19" s="42">
        <f>G19+I19</f>
        <v/>
      </c>
      <c r="P19" s="42" t="n">
        <v>11</v>
      </c>
      <c r="Q19" s="26" t="inlineStr">
        <is>
          <t>YouTube: 1,400 views</t>
        </is>
      </c>
      <c r="R19" s="58" t="n"/>
      <c r="S19" s="58" t="n"/>
    </row>
    <row r="20">
      <c r="A20" s="58" t="n"/>
      <c r="B20" s="34" t="n">
        <v>10</v>
      </c>
      <c r="C20" s="43" t="inlineStr">
        <is>
          <t>Vida</t>
        </is>
      </c>
      <c r="D20" s="34" t="inlineStr">
        <is>
          <t>Америка</t>
        </is>
      </c>
      <c r="E20" s="44" t="inlineStr">
        <is>
          <t>Артур</t>
        </is>
      </c>
      <c r="F20" s="45" t="n">
        <v>10</v>
      </c>
      <c r="G20" s="15" t="n">
        <v>4914</v>
      </c>
      <c r="H20" s="50" t="n">
        <v>0</v>
      </c>
      <c r="I20" s="15" t="n">
        <v>0</v>
      </c>
      <c r="J20" s="72" t="inlineStr">
        <is>
          <t>—</t>
        </is>
      </c>
      <c r="K20" s="48" t="inlineStr">
        <is>
          <t>—</t>
        </is>
      </c>
      <c r="L20" s="48" t="inlineStr">
        <is>
          <t>—</t>
        </is>
      </c>
      <c r="M20" s="48" t="inlineStr">
        <is>
          <t>—</t>
        </is>
      </c>
      <c r="N20" s="45">
        <f>SUM(F20,H20,J20,K20,L20)</f>
        <v/>
      </c>
      <c r="O20" s="46">
        <f>G20+I20</f>
        <v/>
      </c>
      <c r="P20" s="46" t="n">
        <v>2935</v>
      </c>
      <c r="Q20" s="29" t="inlineStr">
        <is>
          <t>TikTok: 985 views</t>
        </is>
      </c>
      <c r="R20" s="58" t="n"/>
      <c r="S20" s="58" t="n"/>
    </row>
    <row r="21">
      <c r="A21" s="58" t="n"/>
      <c r="B21" s="16" t="inlineStr"/>
      <c r="C21" s="73" t="inlineStr">
        <is>
          <t>ИТОГО ПО СЕТКЕ</t>
        </is>
      </c>
      <c r="D21" s="74" t="inlineStr">
        <is>
          <t>—</t>
        </is>
      </c>
      <c r="E21" s="75" t="inlineStr">
        <is>
          <t>5 спецов</t>
        </is>
      </c>
      <c r="F21" s="76">
        <f>SUM(F11:F20)</f>
        <v/>
      </c>
      <c r="G21" s="77">
        <f>SUM(G11:G20)</f>
        <v/>
      </c>
      <c r="H21" s="76">
        <f>SUM(H11:H20)</f>
        <v/>
      </c>
      <c r="I21" s="77">
        <f>SUM(I11:I20)</f>
        <v/>
      </c>
      <c r="J21" s="78" t="inlineStr">
        <is>
          <t>7 акт / 2 бан</t>
        </is>
      </c>
      <c r="K21" s="74" t="inlineStr">
        <is>
          <t>7 акт / 3 бан</t>
        </is>
      </c>
      <c r="L21" s="74" t="inlineStr">
        <is>
          <t>7 акт / 2 бан</t>
        </is>
      </c>
      <c r="M21" s="74" t="inlineStr">
        <is>
          <t>5 акт / 0 бан</t>
        </is>
      </c>
      <c r="N21" s="76">
        <f>SUM(N11:N20)</f>
        <v/>
      </c>
      <c r="O21" s="77">
        <f>SUM(O11:O20)</f>
        <v/>
      </c>
      <c r="P21" s="77">
        <f>SUM(P11:P20)</f>
        <v/>
      </c>
      <c r="Q21" s="79" t="inlineStr">
        <is>
          <t>Асель Исакова (3.8k)</t>
        </is>
      </c>
      <c r="R21" s="58" t="n"/>
      <c r="S21" s="58" t="n"/>
    </row>
    <row r="22">
      <c r="A22" s="58" t="n"/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</row>
    <row r="23">
      <c r="A23" s="58" t="n"/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</row>
    <row r="24">
      <c r="A24" s="58" t="n"/>
      <c r="B24" s="58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</row>
    <row r="25">
      <c r="A25" s="58" t="n"/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</row>
    <row r="26">
      <c r="A26" s="58" t="n"/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</row>
    <row r="27">
      <c r="A27" s="58" t="n"/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</row>
    <row r="28">
      <c r="A28" s="58" t="n"/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</row>
    <row r="29">
      <c r="A29" s="58" t="n"/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1">
      <c r="B1" s="81" t="inlineStr">
        <is>
          <t>📋 РЕЕСТР 60 АККАУНТОВ ИНФЛЮЕНСЕРОВ (Дата и время выгрузки: 05.09.2026 в 18:01:23 МСК)</t>
        </is>
      </c>
    </row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53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41" t="inlineStr">
        <is>
          <t>Активен</t>
        </is>
      </c>
      <c r="G3" s="32" t="n">
        <v>6</v>
      </c>
      <c r="H3" s="32" t="n">
        <v>0</v>
      </c>
      <c r="I3" s="11" t="n">
        <v>4499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11</v>
      </c>
      <c r="N3" s="22" t="n">
        <v>0</v>
      </c>
      <c r="O3" s="11" t="n">
        <v>488</v>
      </c>
      <c r="P3" s="10" t="inlineStr">
        <is>
          <t>https://www.tiktok.com/@yanveras13/video/7680108719144799508</t>
        </is>
      </c>
      <c r="Q3" s="11" t="n">
        <v>2903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53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41" t="inlineStr">
        <is>
          <t>Активен</t>
        </is>
      </c>
      <c r="G4" s="32" t="n">
        <v>4</v>
      </c>
      <c r="H4" s="32" t="n">
        <v>0</v>
      </c>
      <c r="I4" s="11" t="n">
        <v>0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53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41" t="inlineStr">
        <is>
          <t>Активен</t>
        </is>
      </c>
      <c r="G5" s="32" t="n">
        <v>4</v>
      </c>
      <c r="H5" s="32" t="n">
        <v>0</v>
      </c>
      <c r="I5" s="11" t="n">
        <v>0</v>
      </c>
      <c r="J5" s="11" t="n">
        <v>0</v>
      </c>
      <c r="K5" s="11" t="n">
        <v>0</v>
      </c>
      <c r="L5" s="32" t="inlineStr">
        <is>
          <t>04.09.2026</t>
        </is>
      </c>
      <c r="M5" s="11" t="n">
        <v>0</v>
      </c>
      <c r="N5" s="22" t="n">
        <v>0</v>
      </c>
      <c r="O5" s="11" t="n">
        <v>0</v>
      </c>
      <c r="P5" s="10" t="inlineStr"/>
      <c r="Q5" s="11" t="n">
        <v>0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53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41" t="inlineStr">
        <is>
          <t>Активен</t>
        </is>
      </c>
      <c r="G6" s="32" t="n">
        <v>4</v>
      </c>
      <c r="H6" s="32" t="n">
        <v>0</v>
      </c>
      <c r="I6" s="11" t="n">
        <v>615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53" t="inlineStr">
        <is>
          <t>Лёша</t>
        </is>
      </c>
      <c r="D7" s="32" t="inlineStr">
        <is>
          <t>Threads</t>
        </is>
      </c>
      <c r="E7" s="10" t="inlineStr">
        <is>
          <t>https://www.threads.com/@alesabut</t>
        </is>
      </c>
      <c r="F7" s="41" t="inlineStr">
        <is>
          <t>Активен</t>
        </is>
      </c>
      <c r="G7" s="32" t="n">
        <v>2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53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41" t="inlineStr">
        <is>
          <t>Активен</t>
        </is>
      </c>
      <c r="G8" s="32" t="n">
        <v>0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5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41" t="inlineStr">
        <is>
          <t>Активен</t>
        </is>
      </c>
      <c r="G9" s="34" t="n">
        <v>5</v>
      </c>
      <c r="H9" s="34" t="n">
        <v>0</v>
      </c>
      <c r="I9" s="15" t="n">
        <v>3309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65</v>
      </c>
      <c r="P9" s="14" t="inlineStr">
        <is>
          <t>https://www.tiktok.com/@alesyabyt/video/7679108870115052807</t>
        </is>
      </c>
      <c r="Q9" s="15" t="n">
        <v>1042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5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41" t="inlineStr">
        <is>
          <t>Активен</t>
        </is>
      </c>
      <c r="G10" s="34" t="n">
        <v>4</v>
      </c>
      <c r="H10" s="34" t="n">
        <v>0</v>
      </c>
      <c r="I10" s="15" t="n">
        <v>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5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41" t="inlineStr">
        <is>
          <t>Активен</t>
        </is>
      </c>
      <c r="G11" s="34" t="n">
        <v>4</v>
      </c>
      <c r="H11" s="34" t="n">
        <v>0</v>
      </c>
      <c r="I11" s="15" t="n">
        <v>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0</v>
      </c>
      <c r="N11" s="23" t="n">
        <v>0</v>
      </c>
      <c r="O11" s="15" t="n">
        <v>0</v>
      </c>
      <c r="P11" s="14" t="inlineStr"/>
      <c r="Q11" s="15" t="n">
        <v>0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5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41" t="inlineStr">
        <is>
          <t>Активен</t>
        </is>
      </c>
      <c r="G12" s="34" t="n">
        <v>4</v>
      </c>
      <c r="H12" s="34" t="n">
        <v>0</v>
      </c>
      <c r="I12" s="15" t="n">
        <v>0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54" t="inlineStr">
        <is>
          <t>Лёша</t>
        </is>
      </c>
      <c r="D13" s="34" t="inlineStr">
        <is>
          <t>Threads</t>
        </is>
      </c>
      <c r="E13" s="14" t="inlineStr">
        <is>
          <t>https://www.threads.com/@anveras509</t>
        </is>
      </c>
      <c r="F13" s="41" t="inlineStr">
        <is>
          <t>Активен</t>
        </is>
      </c>
      <c r="G13" s="34" t="n">
        <v>2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0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5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41" t="inlineStr">
        <is>
          <t>Активен</t>
        </is>
      </c>
      <c r="G14" s="34" t="n">
        <v>0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53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41" t="inlineStr">
        <is>
          <t>Активен</t>
        </is>
      </c>
      <c r="G15" s="32" t="n">
        <v>4</v>
      </c>
      <c r="H15" s="32" t="n">
        <v>0</v>
      </c>
      <c r="I15" s="11" t="n">
        <v>2028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70</v>
      </c>
      <c r="P15" s="10" t="inlineStr">
        <is>
          <t>https://www.tiktok.com/@baraka.otieno8/video/7680945027325005064</t>
        </is>
      </c>
      <c r="Q15" s="11" t="n">
        <v>748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53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41" t="inlineStr">
        <is>
          <t>Активен</t>
        </is>
      </c>
      <c r="G16" s="32" t="n">
        <v>1</v>
      </c>
      <c r="H16" s="32" t="n">
        <v>0</v>
      </c>
      <c r="I16" s="11" t="n">
        <v>0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0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53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41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0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53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47" t="inlineStr">
        <is>
          <t>БАН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53" t="inlineStr">
        <is>
          <t>Саша</t>
        </is>
      </c>
      <c r="D19" s="32" t="inlineStr">
        <is>
          <t>Threads</t>
        </is>
      </c>
      <c r="E19" s="10" t="inlineStr">
        <is>
          <t>https://www.threads.com/@otienobarakaa</t>
        </is>
      </c>
      <c r="F19" s="41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53" t="inlineStr">
        <is>
          <t>Саша</t>
        </is>
      </c>
      <c r="D20" s="32" t="inlineStr">
        <is>
          <t>X (Twitter)</t>
        </is>
      </c>
      <c r="E20" s="10" t="inlineStr"/>
      <c r="F20" s="5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5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41" t="inlineStr">
        <is>
          <t>Активен</t>
        </is>
      </c>
      <c r="G21" s="34" t="n">
        <v>4</v>
      </c>
      <c r="H21" s="34" t="n">
        <v>0</v>
      </c>
      <c r="I21" s="15" t="n">
        <v>923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2</v>
      </c>
      <c r="N21" s="23" t="n">
        <v>0</v>
      </c>
      <c r="O21" s="15" t="n">
        <v>48</v>
      </c>
      <c r="P21" s="14" t="inlineStr">
        <is>
          <t>https://www.tiktok.com/@grace.muthioni/video/7681208753944907028</t>
        </is>
      </c>
      <c r="Q21" s="15" t="n">
        <v>516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5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41" t="inlineStr">
        <is>
          <t>Активен</t>
        </is>
      </c>
      <c r="G22" s="34" t="n">
        <v>1</v>
      </c>
      <c r="H22" s="34" t="n">
        <v>0</v>
      </c>
      <c r="I22" s="15" t="n">
        <v>7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7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5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41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0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5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41" t="inlineStr">
        <is>
          <t>Активен</t>
        </is>
      </c>
      <c r="G24" s="34" t="n">
        <v>1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54" t="inlineStr">
        <is>
          <t>Саша</t>
        </is>
      </c>
      <c r="D25" s="34" t="inlineStr">
        <is>
          <t>Threads</t>
        </is>
      </c>
      <c r="E25" s="14" t="inlineStr">
        <is>
          <t>https://www.threads.com/@gracemuthioni</t>
        </is>
      </c>
      <c r="F25" s="41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54" t="inlineStr">
        <is>
          <t>Саша</t>
        </is>
      </c>
      <c r="D26" s="34" t="inlineStr">
        <is>
          <t>X (Twitter)</t>
        </is>
      </c>
      <c r="E26" s="14" t="inlineStr"/>
      <c r="F26" s="5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53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41" t="inlineStr">
        <is>
          <t>Активен</t>
        </is>
      </c>
      <c r="G27" s="32" t="n">
        <v>7</v>
      </c>
      <c r="H27" s="32" t="n">
        <v>0</v>
      </c>
      <c r="I27" s="11" t="n">
        <v>3911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4</v>
      </c>
      <c r="N27" s="22" t="n">
        <v>0</v>
      </c>
      <c r="O27" s="11" t="n">
        <v>39</v>
      </c>
      <c r="P27" s="10" t="inlineStr">
        <is>
          <t>https://www.tiktok.com/@kaan.turan225/video/7681297652310412562</t>
        </is>
      </c>
      <c r="Q27" s="11" t="n">
        <v>748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53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41" t="inlineStr">
        <is>
          <t>Активен</t>
        </is>
      </c>
      <c r="G28" s="32" t="n">
        <v>1</v>
      </c>
      <c r="H28" s="32" t="n">
        <v>0</v>
      </c>
      <c r="I28" s="11" t="n">
        <v>110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110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53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47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53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47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53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47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53" t="inlineStr">
        <is>
          <t>Саша</t>
        </is>
      </c>
      <c r="D32" s="32" t="inlineStr">
        <is>
          <t>X (Twitter)</t>
        </is>
      </c>
      <c r="E32" s="10" t="inlineStr"/>
      <c r="F32" s="5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5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41" t="inlineStr">
        <is>
          <t>Активен</t>
        </is>
      </c>
      <c r="G33" s="34" t="n">
        <v>7</v>
      </c>
      <c r="H33" s="34" t="n">
        <v>0</v>
      </c>
      <c r="I33" s="15" t="n">
        <v>4133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5</v>
      </c>
      <c r="N33" s="23" t="n">
        <v>0</v>
      </c>
      <c r="O33" s="15" t="n">
        <v>71</v>
      </c>
      <c r="P33" s="14" t="inlineStr">
        <is>
          <t>https://www.tiktok.com/@melissa.kara47/video/7680583510163344661</t>
        </is>
      </c>
      <c r="Q33" s="15" t="n">
        <v>793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5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41" t="inlineStr">
        <is>
          <t>Активен</t>
        </is>
      </c>
      <c r="G34" s="34" t="n">
        <v>1</v>
      </c>
      <c r="H34" s="34" t="n">
        <v>0</v>
      </c>
      <c r="I34" s="15" t="n">
        <v>289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289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5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47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5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47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5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47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54" t="inlineStr">
        <is>
          <t>Саша</t>
        </is>
      </c>
      <c r="D38" s="34" t="inlineStr">
        <is>
          <t>X (Twitter)</t>
        </is>
      </c>
      <c r="E38" s="14" t="inlineStr"/>
      <c r="F38" s="5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53" t="inlineStr">
        <is>
          <t>Сёма</t>
        </is>
      </c>
      <c r="D39" s="32" t="inlineStr">
        <is>
          <t>TikTok</t>
        </is>
      </c>
      <c r="E39" s="10" t="inlineStr">
        <is>
          <t>tiktok.com/@asel.isakova.077</t>
        </is>
      </c>
      <c r="F39" s="41" t="inlineStr">
        <is>
          <t>Активен</t>
        </is>
      </c>
      <c r="G39" s="32" t="n">
        <v>7</v>
      </c>
      <c r="H39" s="32" t="n">
        <v>0</v>
      </c>
      <c r="I39" s="11" t="n">
        <v>20177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68</v>
      </c>
      <c r="N39" s="22" t="n">
        <v>0</v>
      </c>
      <c r="O39" s="11" t="n">
        <v>1302</v>
      </c>
      <c r="P39" s="10" t="inlineStr">
        <is>
          <t>https://www.tiktok.com/@asel.isakova.077/video/7680600263341706514</t>
        </is>
      </c>
      <c r="Q39" s="11" t="n">
        <v>18100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53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41" t="inlineStr">
        <is>
          <t>Активен</t>
        </is>
      </c>
      <c r="G40" s="32" t="n">
        <v>7</v>
      </c>
      <c r="H40" s="32" t="n">
        <v>0</v>
      </c>
      <c r="I40" s="11" t="n">
        <v>147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301</v>
      </c>
      <c r="N40" s="22" t="n">
        <v>0</v>
      </c>
      <c r="O40" s="11" t="n">
        <v>0</v>
      </c>
      <c r="P40" s="10" t="inlineStr"/>
      <c r="Q40" s="11" t="n">
        <v>73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53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41" t="inlineStr">
        <is>
          <t>Активен</t>
        </is>
      </c>
      <c r="G41" s="32" t="n">
        <v>4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2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53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41" t="inlineStr">
        <is>
          <t>Активен</t>
        </is>
      </c>
      <c r="G42" s="32" t="n">
        <v>4</v>
      </c>
      <c r="H42" s="32" t="n">
        <v>0</v>
      </c>
      <c r="I42" s="11" t="n">
        <v>1938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53" t="inlineStr">
        <is>
          <t>Сёма</t>
        </is>
      </c>
      <c r="D43" s="32" t="inlineStr">
        <is>
          <t>Threads</t>
        </is>
      </c>
      <c r="E43" s="10" t="inlineStr">
        <is>
          <t>https://www.threads.com/@aseli_sakova</t>
        </is>
      </c>
      <c r="F43" s="41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2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53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41" t="inlineStr">
        <is>
          <t>Активен</t>
        </is>
      </c>
      <c r="G44" s="32" t="n">
        <v>0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54" t="inlineStr">
        <is>
          <t>Сёма</t>
        </is>
      </c>
      <c r="D45" s="34" t="inlineStr">
        <is>
          <t>TikTok</t>
        </is>
      </c>
      <c r="E45" s="14" t="inlineStr">
        <is>
          <t>tiktok.com/@tilek.asanov.77</t>
        </is>
      </c>
      <c r="F45" s="41" t="inlineStr">
        <is>
          <t>Активен</t>
        </is>
      </c>
      <c r="G45" s="34" t="n">
        <v>5</v>
      </c>
      <c r="H45" s="34" t="n">
        <v>0</v>
      </c>
      <c r="I45" s="15" t="n">
        <v>1855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49</v>
      </c>
      <c r="P45" s="14" t="inlineStr">
        <is>
          <t>https://www.tiktok.com/@tilek.asanov.77/video/7681247935379590420</t>
        </is>
      </c>
      <c r="Q45" s="15" t="n">
        <v>628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5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41" t="inlineStr">
        <is>
          <t>Активен</t>
        </is>
      </c>
      <c r="G46" s="34" t="n">
        <v>5</v>
      </c>
      <c r="H46" s="34" t="n">
        <v>0</v>
      </c>
      <c r="I46" s="15" t="n">
        <v>278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9</v>
      </c>
      <c r="N46" s="23" t="n">
        <v>0</v>
      </c>
      <c r="O46" s="15" t="n">
        <v>0</v>
      </c>
      <c r="P46" s="14" t="inlineStr"/>
      <c r="Q46" s="15" t="n">
        <v>271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5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41" t="inlineStr">
        <is>
          <t>Активен</t>
        </is>
      </c>
      <c r="G47" s="34" t="n">
        <v>4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0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5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41" t="inlineStr">
        <is>
          <t>Активен</t>
        </is>
      </c>
      <c r="G48" s="34" t="n">
        <v>4</v>
      </c>
      <c r="H48" s="34" t="n">
        <v>0</v>
      </c>
      <c r="I48" s="15" t="n">
        <v>787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54" t="inlineStr">
        <is>
          <t>Сёма</t>
        </is>
      </c>
      <c r="D49" s="34" t="inlineStr">
        <is>
          <t>Threads</t>
        </is>
      </c>
      <c r="E49" s="14" t="inlineStr">
        <is>
          <t>https://www.threads.com/@tile.kasanov</t>
        </is>
      </c>
      <c r="F49" s="41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5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41" t="inlineStr">
        <is>
          <t>Активен</t>
        </is>
      </c>
      <c r="G50" s="34" t="n">
        <v>0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53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41" t="inlineStr">
        <is>
          <t>Активен</t>
        </is>
      </c>
      <c r="G51" s="32" t="n">
        <v>5</v>
      </c>
      <c r="H51" s="32" t="n">
        <v>0</v>
      </c>
      <c r="I51" s="11" t="n">
        <v>1159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67</v>
      </c>
      <c r="P51" s="10" t="inlineStr">
        <is>
          <t>https://www.tiktok.com/@lori.bennett08/video/7680217051616562463</t>
        </is>
      </c>
      <c r="Q51" s="11" t="n">
        <v>354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53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41" t="inlineStr">
        <is>
          <t>Активен</t>
        </is>
      </c>
      <c r="G52" s="32" t="n">
        <v>4</v>
      </c>
      <c r="H52" s="32" t="n">
        <v>0</v>
      </c>
      <c r="I52" s="11" t="n">
        <v>30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7</v>
      </c>
      <c r="N52" s="22" t="n">
        <v>0</v>
      </c>
      <c r="O52" s="11" t="n">
        <v>0</v>
      </c>
      <c r="P52" s="10" t="inlineStr"/>
      <c r="Q52" s="11" t="n">
        <v>15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53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41" t="inlineStr">
        <is>
          <t>Активен</t>
        </is>
      </c>
      <c r="G53" s="32" t="n">
        <v>2</v>
      </c>
      <c r="H53" s="32" t="n">
        <v>0</v>
      </c>
      <c r="I53" s="11" t="n">
        <v>0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0</v>
      </c>
      <c r="N53" s="22" t="n">
        <v>0</v>
      </c>
      <c r="O53" s="11" t="n">
        <v>0</v>
      </c>
      <c r="P53" s="10" t="inlineStr"/>
      <c r="Q53" s="11" t="n">
        <v>0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53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41" t="inlineStr">
        <is>
          <t>Активен</t>
        </is>
      </c>
      <c r="G54" s="32" t="n">
        <v>2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53" t="inlineStr">
        <is>
          <t>Даник</t>
        </is>
      </c>
      <c r="D55" s="32" t="inlineStr">
        <is>
          <t>Threads</t>
        </is>
      </c>
      <c r="E55" s="10" t="inlineStr">
        <is>
          <t>https://www.threads.com/@lori_bennett14</t>
        </is>
      </c>
      <c r="F55" s="41" t="inlineStr">
        <is>
          <t>Активен</t>
        </is>
      </c>
      <c r="G55" s="32" t="n">
        <v>2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0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53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41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2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5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41" t="inlineStr">
        <is>
          <t>Активен</t>
        </is>
      </c>
      <c r="G57" s="34" t="n">
        <v>10</v>
      </c>
      <c r="H57" s="34" t="n">
        <v>0</v>
      </c>
      <c r="I57" s="15" t="n">
        <v>5984</v>
      </c>
      <c r="J57" s="15" t="n">
        <v>965</v>
      </c>
      <c r="K57" s="15" t="n">
        <v>0</v>
      </c>
      <c r="L57" s="34" t="inlineStr">
        <is>
          <t>04.09.2026</t>
        </is>
      </c>
      <c r="M57" s="15" t="n">
        <v>2931</v>
      </c>
      <c r="N57" s="23" t="n">
        <v>0</v>
      </c>
      <c r="O57" s="15" t="n">
        <v>31100</v>
      </c>
      <c r="P57" s="14" t="inlineStr">
        <is>
          <t>https://www.tiktok.com/@vida_morales/video/7675866929277685000</t>
        </is>
      </c>
      <c r="Q57" s="15" t="n">
        <v>1462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54" t="inlineStr">
        <is>
          <t>Артур</t>
        </is>
      </c>
      <c r="D58" s="34" t="inlineStr">
        <is>
          <t>YouTube</t>
        </is>
      </c>
      <c r="E58" s="14" t="inlineStr"/>
      <c r="F58" s="5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54" t="inlineStr">
        <is>
          <t>Артур</t>
        </is>
      </c>
      <c r="D59" s="34" t="inlineStr">
        <is>
          <t>Instagram</t>
        </is>
      </c>
      <c r="E59" s="14" t="inlineStr"/>
      <c r="F59" s="5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54" t="inlineStr">
        <is>
          <t>Артур</t>
        </is>
      </c>
      <c r="D60" s="34" t="inlineStr">
        <is>
          <t>Facebook</t>
        </is>
      </c>
      <c r="E60" s="14" t="inlineStr"/>
      <c r="F60" s="5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54" t="inlineStr">
        <is>
          <t>Артур</t>
        </is>
      </c>
      <c r="D61" s="34" t="inlineStr">
        <is>
          <t>Threads</t>
        </is>
      </c>
      <c r="E61" s="14" t="inlineStr"/>
      <c r="F61" s="5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54" t="inlineStr">
        <is>
          <t>Артур</t>
        </is>
      </c>
      <c r="D62" s="34" t="inlineStr">
        <is>
          <t>X (Twitter)</t>
        </is>
      </c>
      <c r="E62" s="14" t="inlineStr"/>
      <c r="F62" s="5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82" t="inlineStr">
        <is>
          <t>МОДУЛЬ СВЕРКИ И АНТИФРОДА: ЗАЯВЛЕНИЯ VS ФАКТЫ (Сформировано: 05.09.2026 в 18:01:23 МСК)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56" t="n">
        <v>1</v>
      </c>
      <c r="B3" s="53">
        <f>INDEX('📋 Детальный реестр'!C3:C8, 1)</f>
        <v/>
      </c>
      <c r="C3" s="37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57" t="n">
        <v>2</v>
      </c>
      <c r="B4" s="54">
        <f>INDEX('📋 Детальный реестр'!C9:C14, 1)</f>
        <v/>
      </c>
      <c r="C4" s="4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56" t="n">
        <v>3</v>
      </c>
      <c r="B5" s="53">
        <f>INDEX('📋 Детальный реестр'!C15:C20, 1)</f>
        <v/>
      </c>
      <c r="C5" s="37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57" t="n">
        <v>4</v>
      </c>
      <c r="B6" s="54">
        <f>INDEX('📋 Детальный реестр'!C21:C26, 1)</f>
        <v/>
      </c>
      <c r="C6" s="4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56" t="n">
        <v>5</v>
      </c>
      <c r="B7" s="53">
        <f>INDEX('📋 Детальный реестр'!C27:C32, 1)</f>
        <v/>
      </c>
      <c r="C7" s="37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57" t="n">
        <v>6</v>
      </c>
      <c r="B8" s="54">
        <f>INDEX('📋 Детальный реестр'!C33:C38, 1)</f>
        <v/>
      </c>
      <c r="C8" s="4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56" t="n">
        <v>7</v>
      </c>
      <c r="B9" s="53">
        <f>INDEX('📋 Детальный реестр'!C39:C44, 1)</f>
        <v/>
      </c>
      <c r="C9" s="37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57" t="n">
        <v>8</v>
      </c>
      <c r="B10" s="54">
        <f>INDEX('📋 Детальный реестр'!C45:C50, 1)</f>
        <v/>
      </c>
      <c r="C10" s="4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56" t="n">
        <v>9</v>
      </c>
      <c r="B11" s="53">
        <f>INDEX('📋 Детальный реестр'!C51:C56, 1)</f>
        <v/>
      </c>
      <c r="C11" s="37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57" t="n">
        <v>10</v>
      </c>
      <c r="B12" s="54">
        <f>INDEX('📋 Детальный реестр'!C57:C62, 1)</f>
        <v/>
      </c>
      <c r="C12" s="4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2026-09-04T13:47:04Z</dcterms:created>
  <dcterms:modified xmlns:dcterms="http://purl.org/dc/terms/" xmlns:xsi="http://www.w3.org/2001/XMLSchema-instance" xsi:type="dcterms:W3CDTF">2026-09-05T15:01:23Z</dcterms:modified>
</cp:coreProperties>
</file>