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📊 Сводка Руководству" sheetId="1" state="visible" r:id="rId1"/>
    <sheet xmlns:r="http://schemas.openxmlformats.org/officeDocument/2006/relationships" name="📋 Детальный реестр" sheetId="2" state="visible" r:id="rId2"/>
    <sheet xmlns:r="http://schemas.openxmlformats.org/officeDocument/2006/relationships" name="🔍 Аудит и сверка спецов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+#,##0;-#,##0;0"/>
  </numFmts>
  <fonts count="10">
    <font>
      <name val="Calibri"/>
      <family val="2"/>
      <color theme="1"/>
      <sz val="11"/>
      <scheme val="minor"/>
    </font>
    <font>
      <name val="Calibri"/>
      <b val="1"/>
      <color rgb="001E293B"/>
      <sz val="16"/>
    </font>
    <font>
      <name val="Calibri"/>
      <i val="1"/>
      <color rgb="0064748B"/>
      <sz val="11"/>
    </font>
    <font>
      <name val="Calibri"/>
      <b val="1"/>
      <color rgb="00475569"/>
      <sz val="10"/>
    </font>
    <font>
      <name val="Calibri"/>
      <b val="1"/>
      <color rgb="001E3A8A"/>
      <sz val="20"/>
    </font>
    <font>
      <name val="Calibri"/>
      <b val="1"/>
      <color rgb="001E293B"/>
      <sz val="11"/>
    </font>
    <font>
      <name val="Calibri"/>
      <b val="1"/>
      <color rgb="00FFFFFF"/>
      <sz val="11"/>
    </font>
    <font>
      <name val="Calibri"/>
      <color rgb="000F172A"/>
      <sz val="11"/>
    </font>
    <font>
      <name val="Calibri"/>
      <b val="1"/>
      <color rgb="00166534"/>
      <sz val="11"/>
    </font>
    <font>
      <name val="Calibri"/>
      <b val="1"/>
      <color rgb="00991B1B"/>
      <sz val="11"/>
    </font>
  </fonts>
  <fills count="9">
    <fill>
      <patternFill/>
    </fill>
    <fill>
      <patternFill patternType="gray125"/>
    </fill>
    <fill>
      <patternFill patternType="solid">
        <fgColor rgb="00F1F5F9"/>
        <bgColor rgb="00F1F5F9"/>
      </patternFill>
    </fill>
    <fill>
      <patternFill patternType="solid">
        <fgColor rgb="001E293B"/>
        <bgColor rgb="001E293B"/>
      </patternFill>
    </fill>
    <fill>
      <patternFill patternType="solid">
        <fgColor rgb="00F8FAFC"/>
        <bgColor rgb="00F8FAFC"/>
      </patternFill>
    </fill>
    <fill>
      <patternFill patternType="solid">
        <fgColor rgb="002563EB"/>
        <bgColor rgb="002563EB"/>
      </patternFill>
    </fill>
    <fill>
      <patternFill patternType="solid">
        <fgColor rgb="00B91C1C"/>
        <bgColor rgb="00B91C1C"/>
      </patternFill>
    </fill>
    <fill>
      <patternFill patternType="solid">
        <fgColor rgb="00DCFCE7"/>
        <bgColor rgb="00DCFCE7"/>
      </patternFill>
    </fill>
    <fill>
      <patternFill patternType="solid">
        <fgColor rgb="00FEE2E2"/>
        <bgColor rgb="00FEE2E2"/>
      </patternFill>
    </fill>
  </fills>
  <borders count="6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thin">
        <color rgb="00CBD5E1"/>
      </left>
      <right style="thin">
        <color rgb="00CBD5E1"/>
      </right>
      <top style="thin">
        <color rgb="00CBD5E1"/>
      </top>
      <bottom style="double">
        <color rgb="001E293B"/>
      </bottom>
    </border>
    <border>
      <left/>
      <right/>
      <top style="thin">
        <color rgb="00CBD5E1"/>
      </top>
      <bottom/>
      <diagonal/>
    </border>
    <border>
      <left/>
      <right style="thin">
        <color rgb="00CBD5E1"/>
      </right>
      <top style="thin">
        <color rgb="00CBD5E1"/>
      </top>
      <bottom/>
      <diagonal/>
    </border>
    <border>
      <left/>
      <right style="thin">
        <color rgb="00CBD5E1"/>
      </right>
      <top style="thin">
        <color rgb="00CBD5E1"/>
      </top>
      <bottom style="thin">
        <color rgb="00CBD5E1"/>
      </bottom>
      <diagonal/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4" fillId="2" borderId="1" applyAlignment="1" pivotButton="0" quotePrefix="0" xfId="0">
      <alignment horizontal="center" vertical="center" wrapText="1"/>
    </xf>
    <xf numFmtId="0" fontId="5" fillId="0" borderId="0" pivotButton="0" quotePrefix="0" xfId="0"/>
    <xf numFmtId="0" fontId="6" fillId="3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7" fillId="0" borderId="1" applyAlignment="1" pivotButton="0" quotePrefix="0" xfId="0">
      <alignment horizontal="left" vertical="center"/>
    </xf>
    <xf numFmtId="3" fontId="7" fillId="0" borderId="1" applyAlignment="1" pivotButton="0" quotePrefix="0" xfId="0">
      <alignment horizontal="right" vertical="center"/>
    </xf>
    <xf numFmtId="0" fontId="7" fillId="4" borderId="1" applyAlignment="1" pivotButton="0" quotePrefix="0" xfId="0">
      <alignment horizontal="center" vertical="center" wrapText="1"/>
    </xf>
    <xf numFmtId="0" fontId="5" fillId="4" borderId="1" pivotButton="0" quotePrefix="0" xfId="0"/>
    <xf numFmtId="0" fontId="7" fillId="4" borderId="1" applyAlignment="1" pivotButton="0" quotePrefix="0" xfId="0">
      <alignment horizontal="left" vertical="center"/>
    </xf>
    <xf numFmtId="3" fontId="7" fillId="4" borderId="1" applyAlignment="1" pivotButton="0" quotePrefix="0" xfId="0">
      <alignment horizontal="right" vertical="center"/>
    </xf>
    <xf numFmtId="0" fontId="0" fillId="0" borderId="2" pivotButton="0" quotePrefix="0" xfId="0"/>
    <xf numFmtId="0" fontId="5" fillId="0" borderId="2" applyAlignment="1" pivotButton="0" quotePrefix="0" xfId="0">
      <alignment horizontal="left" vertical="center"/>
    </xf>
    <xf numFmtId="0" fontId="0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3" fontId="5" fillId="0" borderId="2" applyAlignment="1" pivotButton="0" quotePrefix="0" xfId="0">
      <alignment horizontal="right" vertical="center"/>
    </xf>
    <xf numFmtId="0" fontId="6" fillId="5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right" vertical="center"/>
    </xf>
    <xf numFmtId="164" fontId="7" fillId="4" borderId="1" applyAlignment="1" pivotButton="0" quotePrefix="0" xfId="0">
      <alignment horizontal="right" vertical="center"/>
    </xf>
    <xf numFmtId="0" fontId="6" fillId="6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/>
    </xf>
    <xf numFmtId="0" fontId="5" fillId="0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left" vertical="center"/>
    </xf>
    <xf numFmtId="0" fontId="5" fillId="4" borderId="1" applyAlignment="1" pivotButton="0" quotePrefix="0" xfId="0">
      <alignment horizontal="center" vertical="center" wrapText="1"/>
    </xf>
    <xf numFmtId="0" fontId="0" fillId="0" borderId="5" pivotButton="0" quotePrefix="0" xfId="0"/>
    <xf numFmtId="0" fontId="7" fillId="0" borderId="1" applyAlignment="1" pivotButton="0" quotePrefix="0" xfId="0">
      <alignment horizontal="center" vertical="center"/>
    </xf>
    <xf numFmtId="0" fontId="8" fillId="7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7" fillId="2" borderId="1" applyAlignment="1" pivotButton="0" quotePrefix="0" xfId="0">
      <alignment horizontal="center" vertical="center"/>
    </xf>
    <xf numFmtId="0" fontId="9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K21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79" customWidth="1" min="2" max="2"/>
    <col width="16" customWidth="1" min="3" max="3"/>
    <col width="29" customWidth="1" min="4" max="4"/>
    <col width="17" customWidth="1" min="5" max="5"/>
    <col width="19" customWidth="1" min="6" max="6"/>
    <col width="29" customWidth="1" min="7" max="7"/>
    <col width="24" customWidth="1" min="8" max="8"/>
    <col width="20" customWidth="1" min="9" max="9"/>
    <col width="21" customWidth="1" min="10" max="10"/>
    <col width="17" customWidth="1" min="11" max="11"/>
  </cols>
  <sheetData>
    <row r="2">
      <c r="B2" s="1" t="inlineStr">
        <is>
          <t>СВОДНЫЙ ОТЧЕТ ПО ИНФЛЮЕНСЕРАМ И АУДИТУ СПЕЦИАЛИСТОВ</t>
        </is>
      </c>
    </row>
    <row r="3">
      <c r="B3" s="2" t="inlineStr">
        <is>
          <t>Фиксация метрик на текущий момент | Рабочее время залива: 10:00 - 19:00 МСК</t>
        </is>
      </c>
    </row>
    <row r="5">
      <c r="B5" s="3" t="inlineStr">
        <is>
          <t>АКТИВНЫХ АККАУНТОВ</t>
        </is>
      </c>
      <c r="C5" s="31" t="n"/>
      <c r="D5" s="3" t="inlineStr">
        <is>
          <t>ВЫЛОЖЕНО ЗА ДЕНЬ (10-19ч)</t>
        </is>
      </c>
      <c r="E5" s="31" t="n"/>
      <c r="F5" s="3" t="inlineStr">
        <is>
          <t>ОБЩИЕ ПРОСМОТРЫ</t>
        </is>
      </c>
      <c r="G5" s="31" t="n"/>
      <c r="H5" s="3" t="inlineStr">
        <is>
          <t>СУММАРНО ПОДПИСЧИКОВ</t>
        </is>
      </c>
      <c r="I5" s="31" t="n"/>
    </row>
    <row r="6">
      <c r="B6" s="5">
        <f>COUNTIF('📋 Детальный реестр'!F3:F62, "Активен") &amp; " из " &amp; COUNTA('📋 Детальный реестр'!F3:F62)</f>
        <v/>
      </c>
      <c r="C6" s="31" t="n"/>
      <c r="D6" s="5">
        <f>SUM('📋 Детальный реестр'!H3:H62)</f>
        <v/>
      </c>
      <c r="E6" s="31" t="n"/>
      <c r="F6" s="5">
        <f>SUM('📋 Детальный реестр'!I3:I62)</f>
        <v/>
      </c>
      <c r="G6" s="31" t="n"/>
      <c r="H6" s="5">
        <f>SUM('📋 Детальный реестр'!M3:M62)</f>
        <v/>
      </c>
      <c r="I6" s="31" t="n"/>
    </row>
    <row r="9">
      <c r="B9" s="6" t="inlineStr">
        <is>
          <t>СВОДКА ПО ИНФЛЮЕНСЕРАМ (ТОП-10)</t>
        </is>
      </c>
    </row>
    <row r="10">
      <c r="B10" s="7" t="inlineStr">
        <is>
          <t>№</t>
        </is>
      </c>
      <c r="C10" s="7" t="inlineStr">
        <is>
          <t>Инфлюенсер</t>
        </is>
      </c>
      <c r="D10" s="7" t="inlineStr">
        <is>
          <t>Ответственный спец</t>
        </is>
      </c>
      <c r="E10" s="7" t="inlineStr">
        <is>
          <t>Активных акк.</t>
        </is>
      </c>
      <c r="F10" s="7" t="inlineStr">
        <is>
          <t>Забанено</t>
        </is>
      </c>
      <c r="G10" s="7" t="inlineStr">
        <is>
          <t>Выложено сегодня (10-19ч)</t>
        </is>
      </c>
      <c r="H10" s="7" t="inlineStr">
        <is>
          <t>Всего постов</t>
        </is>
      </c>
      <c r="I10" s="7" t="inlineStr">
        <is>
          <t>Сумма просмотров</t>
        </is>
      </c>
      <c r="J10" s="7" t="inlineStr">
        <is>
          <t>Сумма подписчиков</t>
        </is>
      </c>
      <c r="K10" s="7" t="inlineStr">
        <is>
          <t>Статус аудита</t>
        </is>
      </c>
    </row>
    <row r="11">
      <c r="B11" s="8" t="n">
        <v>1</v>
      </c>
      <c r="C11" s="9">
        <f>INDEX('📋 Детальный реестр'!B3:B8, 1)</f>
        <v/>
      </c>
      <c r="D11" s="10">
        <f>INDEX('📋 Детальный реестр'!C3:C8, 1)</f>
        <v/>
      </c>
      <c r="E11" s="8">
        <f>COUNTIF('📋 Детальный реестр'!F3:F8, "Активен")</f>
        <v/>
      </c>
      <c r="F11" s="8">
        <f>COUNTIF('📋 Детальный реестр'!F3:F8, "БАН")</f>
        <v/>
      </c>
      <c r="G11" s="8">
        <f>SUM('📋 Детальный реестр'!H3:H8)</f>
        <v/>
      </c>
      <c r="H11" s="8">
        <f>SUM('📋 Детальный реестр'!G3:G8)</f>
        <v/>
      </c>
      <c r="I11" s="11">
        <f>SUM('📋 Детальный реестр'!I3:I8)</f>
        <v/>
      </c>
      <c r="J11" s="11">
        <f>SUM('📋 Детальный реестр'!M3:M8)</f>
        <v/>
      </c>
      <c r="K11" s="8">
        <f>INDEX('🔍 Аудит и сверка спецов'!I3, 1)</f>
        <v/>
      </c>
    </row>
    <row r="12">
      <c r="B12" s="12" t="n">
        <v>2</v>
      </c>
      <c r="C12" s="13">
        <f>INDEX('📋 Детальный реестр'!B9:B14, 1)</f>
        <v/>
      </c>
      <c r="D12" s="14">
        <f>INDEX('📋 Детальный реестр'!C9:C14, 1)</f>
        <v/>
      </c>
      <c r="E12" s="12">
        <f>COUNTIF('📋 Детальный реестр'!F9:F14, "Активен")</f>
        <v/>
      </c>
      <c r="F12" s="12">
        <f>COUNTIF('📋 Детальный реестр'!F9:F14, "БАН")</f>
        <v/>
      </c>
      <c r="G12" s="12">
        <f>SUM('📋 Детальный реестр'!H9:H14)</f>
        <v/>
      </c>
      <c r="H12" s="12">
        <f>SUM('📋 Детальный реестр'!G9:G14)</f>
        <v/>
      </c>
      <c r="I12" s="15">
        <f>SUM('📋 Детальный реестр'!I9:I14)</f>
        <v/>
      </c>
      <c r="J12" s="15">
        <f>SUM('📋 Детальный реестр'!M9:M14)</f>
        <v/>
      </c>
      <c r="K12" s="12">
        <f>INDEX('🔍 Аудит и сверка спецов'!I4, 1)</f>
        <v/>
      </c>
    </row>
    <row r="13">
      <c r="B13" s="8" t="n">
        <v>3</v>
      </c>
      <c r="C13" s="9">
        <f>INDEX('📋 Детальный реестр'!B15:B20, 1)</f>
        <v/>
      </c>
      <c r="D13" s="10">
        <f>INDEX('📋 Детальный реестр'!C15:C20, 1)</f>
        <v/>
      </c>
      <c r="E13" s="8">
        <f>COUNTIF('📋 Детальный реестр'!F15:F20, "Активен")</f>
        <v/>
      </c>
      <c r="F13" s="8">
        <f>COUNTIF('📋 Детальный реестр'!F15:F20, "БАН")</f>
        <v/>
      </c>
      <c r="G13" s="8">
        <f>SUM('📋 Детальный реестр'!H15:H20)</f>
        <v/>
      </c>
      <c r="H13" s="8">
        <f>SUM('📋 Детальный реестр'!G15:G20)</f>
        <v/>
      </c>
      <c r="I13" s="11">
        <f>SUM('📋 Детальный реестр'!I15:I20)</f>
        <v/>
      </c>
      <c r="J13" s="11">
        <f>SUM('📋 Детальный реестр'!M15:M20)</f>
        <v/>
      </c>
      <c r="K13" s="8">
        <f>INDEX('🔍 Аудит и сверка спецов'!I5, 1)</f>
        <v/>
      </c>
    </row>
    <row r="14">
      <c r="B14" s="12" t="n">
        <v>4</v>
      </c>
      <c r="C14" s="13">
        <f>INDEX('📋 Детальный реестр'!B21:B26, 1)</f>
        <v/>
      </c>
      <c r="D14" s="14">
        <f>INDEX('📋 Детальный реестр'!C21:C26, 1)</f>
        <v/>
      </c>
      <c r="E14" s="12">
        <f>COUNTIF('📋 Детальный реестр'!F21:F26, "Активен")</f>
        <v/>
      </c>
      <c r="F14" s="12">
        <f>COUNTIF('📋 Детальный реестр'!F21:F26, "БАН")</f>
        <v/>
      </c>
      <c r="G14" s="12">
        <f>SUM('📋 Детальный реестр'!H21:H26)</f>
        <v/>
      </c>
      <c r="H14" s="12">
        <f>SUM('📋 Детальный реестр'!G21:G26)</f>
        <v/>
      </c>
      <c r="I14" s="15">
        <f>SUM('📋 Детальный реестр'!I21:I26)</f>
        <v/>
      </c>
      <c r="J14" s="15">
        <f>SUM('📋 Детальный реестр'!M21:M26)</f>
        <v/>
      </c>
      <c r="K14" s="12">
        <f>INDEX('🔍 Аудит и сверка спецов'!I6, 1)</f>
        <v/>
      </c>
    </row>
    <row r="15">
      <c r="B15" s="8" t="n">
        <v>5</v>
      </c>
      <c r="C15" s="9">
        <f>INDEX('📋 Детальный реестр'!B27:B32, 1)</f>
        <v/>
      </c>
      <c r="D15" s="10">
        <f>INDEX('📋 Детальный реестр'!C27:C32, 1)</f>
        <v/>
      </c>
      <c r="E15" s="8">
        <f>COUNTIF('📋 Детальный реестр'!F27:F32, "Активен")</f>
        <v/>
      </c>
      <c r="F15" s="8">
        <f>COUNTIF('📋 Детальный реестр'!F27:F32, "БАН")</f>
        <v/>
      </c>
      <c r="G15" s="8">
        <f>SUM('📋 Детальный реестр'!H27:H32)</f>
        <v/>
      </c>
      <c r="H15" s="8">
        <f>SUM('📋 Детальный реестр'!G27:G32)</f>
        <v/>
      </c>
      <c r="I15" s="11">
        <f>SUM('📋 Детальный реестр'!I27:I32)</f>
        <v/>
      </c>
      <c r="J15" s="11">
        <f>SUM('📋 Детальный реестр'!M27:M32)</f>
        <v/>
      </c>
      <c r="K15" s="8">
        <f>INDEX('🔍 Аудит и сверка спецов'!I7, 1)</f>
        <v/>
      </c>
    </row>
    <row r="16">
      <c r="B16" s="12" t="n">
        <v>6</v>
      </c>
      <c r="C16" s="13">
        <f>INDEX('📋 Детальный реестр'!B33:B38, 1)</f>
        <v/>
      </c>
      <c r="D16" s="14">
        <f>INDEX('📋 Детальный реестр'!C33:C38, 1)</f>
        <v/>
      </c>
      <c r="E16" s="12">
        <f>COUNTIF('📋 Детальный реестр'!F33:F38, "Активен")</f>
        <v/>
      </c>
      <c r="F16" s="12">
        <f>COUNTIF('📋 Детальный реестр'!F33:F38, "БАН")</f>
        <v/>
      </c>
      <c r="G16" s="12">
        <f>SUM('📋 Детальный реестр'!H33:H38)</f>
        <v/>
      </c>
      <c r="H16" s="12">
        <f>SUM('📋 Детальный реестр'!G33:G38)</f>
        <v/>
      </c>
      <c r="I16" s="15">
        <f>SUM('📋 Детальный реестр'!I33:I38)</f>
        <v/>
      </c>
      <c r="J16" s="15">
        <f>SUM('📋 Детальный реестр'!M33:M38)</f>
        <v/>
      </c>
      <c r="K16" s="12">
        <f>INDEX('🔍 Аудит и сверка спецов'!I8, 1)</f>
        <v/>
      </c>
    </row>
    <row r="17">
      <c r="B17" s="8" t="n">
        <v>7</v>
      </c>
      <c r="C17" s="9">
        <f>INDEX('📋 Детальный реестр'!B39:B44, 1)</f>
        <v/>
      </c>
      <c r="D17" s="10">
        <f>INDEX('📋 Детальный реестр'!C39:C44, 1)</f>
        <v/>
      </c>
      <c r="E17" s="8">
        <f>COUNTIF('📋 Детальный реестр'!F39:F44, "Активен")</f>
        <v/>
      </c>
      <c r="F17" s="8">
        <f>COUNTIF('📋 Детальный реестр'!F39:F44, "БАН")</f>
        <v/>
      </c>
      <c r="G17" s="8">
        <f>SUM('📋 Детальный реестр'!H39:H44)</f>
        <v/>
      </c>
      <c r="H17" s="8">
        <f>SUM('📋 Детальный реестр'!G39:G44)</f>
        <v/>
      </c>
      <c r="I17" s="11">
        <f>SUM('📋 Детальный реестр'!I39:I44)</f>
        <v/>
      </c>
      <c r="J17" s="11">
        <f>SUM('📋 Детальный реестр'!M39:M44)</f>
        <v/>
      </c>
      <c r="K17" s="8">
        <f>INDEX('🔍 Аудит и сверка спецов'!I9, 1)</f>
        <v/>
      </c>
    </row>
    <row r="18">
      <c r="B18" s="12" t="n">
        <v>8</v>
      </c>
      <c r="C18" s="13">
        <f>INDEX('📋 Детальный реестр'!B45:B50, 1)</f>
        <v/>
      </c>
      <c r="D18" s="14">
        <f>INDEX('📋 Детальный реестр'!C45:C50, 1)</f>
        <v/>
      </c>
      <c r="E18" s="12">
        <f>COUNTIF('📋 Детальный реестр'!F45:F50, "Активен")</f>
        <v/>
      </c>
      <c r="F18" s="12">
        <f>COUNTIF('📋 Детальный реестр'!F45:F50, "БАН")</f>
        <v/>
      </c>
      <c r="G18" s="12">
        <f>SUM('📋 Детальный реестр'!H45:H50)</f>
        <v/>
      </c>
      <c r="H18" s="12">
        <f>SUM('📋 Детальный реестр'!G45:G50)</f>
        <v/>
      </c>
      <c r="I18" s="15">
        <f>SUM('📋 Детальный реестр'!I45:I50)</f>
        <v/>
      </c>
      <c r="J18" s="15">
        <f>SUM('📋 Детальный реестр'!M45:M50)</f>
        <v/>
      </c>
      <c r="K18" s="12">
        <f>INDEX('🔍 Аудит и сверка спецов'!I10, 1)</f>
        <v/>
      </c>
    </row>
    <row r="19">
      <c r="B19" s="8" t="n">
        <v>9</v>
      </c>
      <c r="C19" s="9">
        <f>INDEX('📋 Детальный реестр'!B51:B56, 1)</f>
        <v/>
      </c>
      <c r="D19" s="10">
        <f>INDEX('📋 Детальный реестр'!C51:C56, 1)</f>
        <v/>
      </c>
      <c r="E19" s="8">
        <f>COUNTIF('📋 Детальный реестр'!F51:F56, "Активен")</f>
        <v/>
      </c>
      <c r="F19" s="8">
        <f>COUNTIF('📋 Детальный реестр'!F51:F56, "БАН")</f>
        <v/>
      </c>
      <c r="G19" s="8">
        <f>SUM('📋 Детальный реестр'!H51:H56)</f>
        <v/>
      </c>
      <c r="H19" s="8">
        <f>SUM('📋 Детальный реестр'!G51:G56)</f>
        <v/>
      </c>
      <c r="I19" s="11">
        <f>SUM('📋 Детальный реестр'!I51:I56)</f>
        <v/>
      </c>
      <c r="J19" s="11">
        <f>SUM('📋 Детальный реестр'!M51:M56)</f>
        <v/>
      </c>
      <c r="K19" s="8">
        <f>INDEX('🔍 Аудит и сверка спецов'!I11, 1)</f>
        <v/>
      </c>
    </row>
    <row r="20">
      <c r="B20" s="12" t="n">
        <v>10</v>
      </c>
      <c r="C20" s="13">
        <f>INDEX('📋 Детальный реестр'!B57:B62, 1)</f>
        <v/>
      </c>
      <c r="D20" s="14">
        <f>INDEX('📋 Детальный реестр'!C57:C62, 1)</f>
        <v/>
      </c>
      <c r="E20" s="12">
        <f>COUNTIF('📋 Детальный реестр'!F57:F62, "Активен")</f>
        <v/>
      </c>
      <c r="F20" s="12">
        <f>COUNTIF('📋 Детальный реестр'!F57:F62, "БАН")</f>
        <v/>
      </c>
      <c r="G20" s="12">
        <f>SUM('📋 Детальный реестр'!H57:H62)</f>
        <v/>
      </c>
      <c r="H20" s="12">
        <f>SUM('📋 Детальный реестр'!G57:G62)</f>
        <v/>
      </c>
      <c r="I20" s="15">
        <f>SUM('📋 Детальный реестр'!I57:I62)</f>
        <v/>
      </c>
      <c r="J20" s="15">
        <f>SUM('📋 Детальный реестр'!M57:M62)</f>
        <v/>
      </c>
      <c r="K20" s="12">
        <f>INDEX('🔍 Аудит и сверка спецов'!I12, 1)</f>
        <v/>
      </c>
    </row>
    <row r="21">
      <c r="B21" s="16" t="inlineStr"/>
      <c r="C21" s="17" t="inlineStr">
        <is>
          <t>ИТОГО</t>
        </is>
      </c>
      <c r="D21" s="18" t="inlineStr">
        <is>
          <t>—</t>
        </is>
      </c>
      <c r="E21" s="19">
        <f>SUM(E11:E20)</f>
        <v/>
      </c>
      <c r="F21" s="19">
        <f>SUM(F11:F20)</f>
        <v/>
      </c>
      <c r="G21" s="19">
        <f>SUM(G11:G20)</f>
        <v/>
      </c>
      <c r="H21" s="19">
        <f>SUM(H11:H20)</f>
        <v/>
      </c>
      <c r="I21" s="20">
        <f>SUM(I11:I20)</f>
        <v/>
      </c>
      <c r="J21" s="20">
        <f>SUM(J11:J20)</f>
        <v/>
      </c>
      <c r="K21" s="18" t="inlineStr">
        <is>
          <t>—</t>
        </is>
      </c>
    </row>
  </sheetData>
  <mergeCells count="10">
    <mergeCell ref="D6:E6"/>
    <mergeCell ref="B6:C6"/>
    <mergeCell ref="H6:I6"/>
    <mergeCell ref="B5:C5"/>
    <mergeCell ref="F5:G5"/>
    <mergeCell ref="D5:E5"/>
    <mergeCell ref="B2:H2"/>
    <mergeCell ref="F6:G6"/>
    <mergeCell ref="H5:I5"/>
    <mergeCell ref="B3:H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R62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20" customWidth="1" min="2" max="2"/>
    <col width="20" customWidth="1" min="3" max="3"/>
    <col width="14" customWidth="1" min="4" max="4"/>
    <col width="30" customWidth="1" min="5" max="5"/>
    <col width="16" customWidth="1" min="6" max="6"/>
    <col width="14" customWidth="1" min="7" max="7"/>
    <col width="22" customWidth="1" min="8" max="8"/>
    <col width="18" customWidth="1" min="9" max="9"/>
    <col width="18" customWidth="1" min="10" max="10"/>
    <col width="16" customWidth="1" min="11" max="11"/>
    <col width="22" customWidth="1" min="12" max="12"/>
    <col width="16" customWidth="1" min="13" max="13"/>
    <col width="18" customWidth="1" min="14" max="14"/>
    <col width="16" customWidth="1" min="15" max="15"/>
    <col width="25" customWidth="1" min="16" max="16"/>
    <col width="18" customWidth="1" min="17" max="17"/>
    <col width="25" customWidth="1" min="18" max="18"/>
  </cols>
  <sheetData>
    <row r="2" ht="28" customHeight="1">
      <c r="A2" s="21" t="inlineStr">
        <is>
          <t>№</t>
        </is>
      </c>
      <c r="B2" s="21" t="inlineStr">
        <is>
          <t>Инфлюенсер</t>
        </is>
      </c>
      <c r="C2" s="21" t="inlineStr">
        <is>
          <t>Ответственный спец</t>
        </is>
      </c>
      <c r="D2" s="21" t="inlineStr">
        <is>
          <t>Соцсеть</t>
        </is>
      </c>
      <c r="E2" s="21" t="inlineStr">
        <is>
          <t>Ссылка / Handle</t>
        </is>
      </c>
      <c r="F2" s="21" t="inlineStr">
        <is>
          <t>Статус аккаунта</t>
        </is>
      </c>
      <c r="G2" s="21" t="inlineStr">
        <is>
          <t>Всего постов</t>
        </is>
      </c>
      <c r="H2" s="21" t="inlineStr">
        <is>
          <t>Постов за день (10-19ч)</t>
        </is>
      </c>
      <c r="I2" s="21" t="inlineStr">
        <is>
          <t>Общие просмотры</t>
        </is>
      </c>
      <c r="J2" s="21" t="inlineStr">
        <is>
          <t>Просмотры посл. поста</t>
        </is>
      </c>
      <c r="K2" s="21" t="inlineStr">
        <is>
          <t>Лайки посл. поста</t>
        </is>
      </c>
      <c r="L2" s="21" t="inlineStr">
        <is>
          <t>Дата/время посл. поста</t>
        </is>
      </c>
      <c r="M2" s="21" t="inlineStr">
        <is>
          <t>Подписчики</t>
        </is>
      </c>
      <c r="N2" s="21" t="inlineStr">
        <is>
          <t>Прирост подписчиков</t>
        </is>
      </c>
      <c r="O2" s="21" t="inlineStr">
        <is>
          <t>Всего лайков</t>
        </is>
      </c>
      <c r="P2" s="21" t="inlineStr">
        <is>
          <t>ХОТ ПОСТ (Ссылка)</t>
        </is>
      </c>
      <c r="Q2" s="21" t="inlineStr">
        <is>
          <t>ХОТ ПОСТ (Просмотры)</t>
        </is>
      </c>
      <c r="R2" s="21" t="inlineStr">
        <is>
          <t>Примечание</t>
        </is>
      </c>
    </row>
    <row r="3">
      <c r="A3" s="32" t="n">
        <v>1</v>
      </c>
      <c r="B3" s="10" t="inlineStr">
        <is>
          <t>Алеся Бут (Беларусь)</t>
        </is>
      </c>
      <c r="C3" s="10" t="inlineStr">
        <is>
          <t>Лёша</t>
        </is>
      </c>
      <c r="D3" s="32" t="inlineStr">
        <is>
          <t>TikTok</t>
        </is>
      </c>
      <c r="E3" s="10" t="inlineStr">
        <is>
          <t>https://www.tiktok.com/@yanveras13</t>
        </is>
      </c>
      <c r="F3" s="33" t="inlineStr">
        <is>
          <t>Активен</t>
        </is>
      </c>
      <c r="G3" s="32" t="n">
        <v>7</v>
      </c>
      <c r="H3" s="32" t="n">
        <v>0</v>
      </c>
      <c r="I3" s="11" t="n">
        <v>5268</v>
      </c>
      <c r="J3" s="11" t="n">
        <v>136</v>
      </c>
      <c r="K3" s="11" t="n">
        <v>0</v>
      </c>
      <c r="L3" s="32" t="inlineStr">
        <is>
          <t>04.09.2026</t>
        </is>
      </c>
      <c r="M3" s="11" t="n">
        <v>12</v>
      </c>
      <c r="N3" s="22" t="n">
        <v>0</v>
      </c>
      <c r="O3" s="11" t="n">
        <v>552</v>
      </c>
      <c r="P3" s="10" t="inlineStr">
        <is>
          <t>https://www.tiktok.com/@yanveras13/video/7680108719144799508</t>
        </is>
      </c>
      <c r="Q3" s="11" t="n">
        <v>2906</v>
      </c>
      <c r="R3" s="10" t="inlineStr">
        <is>
          <t>Email: alesyabyt18@gmail.com | Pass: 123Byt123 | SocPass: 123Byt123!</t>
        </is>
      </c>
    </row>
    <row r="4">
      <c r="A4" s="32" t="n">
        <v>2</v>
      </c>
      <c r="B4" s="10" t="inlineStr">
        <is>
          <t>Алеся Бут (Беларусь)</t>
        </is>
      </c>
      <c r="C4" s="10" t="inlineStr">
        <is>
          <t>Лёша</t>
        </is>
      </c>
      <c r="D4" s="32" t="inlineStr">
        <is>
          <t>YouTube</t>
        </is>
      </c>
      <c r="E4" s="10" t="inlineStr">
        <is>
          <t>https://youtube.com/channel/UCn-t5Z16uoP60hkWQQ7d_Tg</t>
        </is>
      </c>
      <c r="F4" s="33" t="inlineStr">
        <is>
          <t>Активен</t>
        </is>
      </c>
      <c r="G4" s="32" t="n">
        <v>5</v>
      </c>
      <c r="H4" s="32" t="n">
        <v>0</v>
      </c>
      <c r="I4" s="11" t="n">
        <v>8403</v>
      </c>
      <c r="J4" s="11" t="n">
        <v>0</v>
      </c>
      <c r="K4" s="11" t="n">
        <v>0</v>
      </c>
      <c r="L4" s="32" t="inlineStr">
        <is>
          <t>04.09.2026</t>
        </is>
      </c>
      <c r="M4" s="11" t="n">
        <v>4</v>
      </c>
      <c r="N4" s="22" t="n">
        <v>0</v>
      </c>
      <c r="O4" s="11" t="n">
        <v>0</v>
      </c>
      <c r="P4" s="10" t="inlineStr"/>
      <c r="Q4" s="11" t="n">
        <v>5000</v>
      </c>
      <c r="R4" s="10" t="inlineStr">
        <is>
          <t>Email: alesyabyt18@gmail.com | Pass: 123Byt123 | SocPass: 123Byt123!</t>
        </is>
      </c>
    </row>
    <row r="5">
      <c r="A5" s="32" t="n">
        <v>3</v>
      </c>
      <c r="B5" s="10" t="inlineStr">
        <is>
          <t>Алеся Бут (Беларусь)</t>
        </is>
      </c>
      <c r="C5" s="10" t="inlineStr">
        <is>
          <t>Лёша</t>
        </is>
      </c>
      <c r="D5" s="32" t="inlineStr">
        <is>
          <t>Instagram</t>
        </is>
      </c>
      <c r="E5" s="10" t="inlineStr">
        <is>
          <t>https://www.instagram.com/anveras509</t>
        </is>
      </c>
      <c r="F5" s="33" t="inlineStr">
        <is>
          <t>Активен</t>
        </is>
      </c>
      <c r="G5" s="32" t="n">
        <v>5</v>
      </c>
      <c r="H5" s="32" t="n">
        <v>0</v>
      </c>
      <c r="I5" s="11" t="n">
        <v>1069</v>
      </c>
      <c r="J5" s="11" t="n">
        <v>0</v>
      </c>
      <c r="K5" s="11" t="n">
        <v>0</v>
      </c>
      <c r="L5" s="32" t="inlineStr">
        <is>
          <t>04.09.2026</t>
        </is>
      </c>
      <c r="M5" s="11" t="n">
        <v>1</v>
      </c>
      <c r="N5" s="22" t="n">
        <v>0</v>
      </c>
      <c r="O5" s="11" t="n">
        <v>0</v>
      </c>
      <c r="P5" s="10" t="inlineStr"/>
      <c r="Q5" s="11" t="n">
        <v>412</v>
      </c>
      <c r="R5" s="10" t="inlineStr">
        <is>
          <t>Email: alesyabyt18@gmail.com | Pass: 123Byt123 | SocPass: 123Byt123!</t>
        </is>
      </c>
    </row>
    <row r="6">
      <c r="A6" s="32" t="n">
        <v>4</v>
      </c>
      <c r="B6" s="10" t="inlineStr">
        <is>
          <t>Алеся Бут (Беларусь)</t>
        </is>
      </c>
      <c r="C6" s="10" t="inlineStr">
        <is>
          <t>Лёша</t>
        </is>
      </c>
      <c r="D6" s="32" t="inlineStr">
        <is>
          <t>Facebook</t>
        </is>
      </c>
      <c r="E6" s="10" t="inlineStr">
        <is>
          <t>https://www.facebook.com/share/1BMagQvaoE/</t>
        </is>
      </c>
      <c r="F6" s="33" t="inlineStr">
        <is>
          <t>Активен</t>
        </is>
      </c>
      <c r="G6" s="32" t="n">
        <v>5</v>
      </c>
      <c r="H6" s="32" t="n">
        <v>0</v>
      </c>
      <c r="I6" s="11" t="n">
        <v>718</v>
      </c>
      <c r="J6" s="11" t="n">
        <v>43</v>
      </c>
      <c r="K6" s="11" t="n">
        <v>0</v>
      </c>
      <c r="L6" s="32" t="inlineStr">
        <is>
          <t>04.09.2026</t>
        </is>
      </c>
      <c r="M6" s="11" t="n">
        <v>0</v>
      </c>
      <c r="N6" s="22" t="n">
        <v>0</v>
      </c>
      <c r="O6" s="11" t="n">
        <v>0</v>
      </c>
      <c r="P6" s="10" t="inlineStr"/>
      <c r="Q6" s="11" t="n">
        <v>280</v>
      </c>
      <c r="R6" s="10" t="inlineStr">
        <is>
          <t>Email: alesyabyt18@gmail.com | Pass: 123Byt123 | SocPass: 123Byt123!</t>
        </is>
      </c>
    </row>
    <row r="7">
      <c r="A7" s="32" t="n">
        <v>5</v>
      </c>
      <c r="B7" s="10" t="inlineStr">
        <is>
          <t>Алеся Бут (Беларусь)</t>
        </is>
      </c>
      <c r="C7" s="10" t="inlineStr">
        <is>
          <t>Лёша</t>
        </is>
      </c>
      <c r="D7" s="32" t="inlineStr">
        <is>
          <t>Threads</t>
        </is>
      </c>
      <c r="E7" s="10" t="inlineStr">
        <is>
          <t>https://www.threads.net/@alesabut</t>
        </is>
      </c>
      <c r="F7" s="33" t="inlineStr">
        <is>
          <t>Активен</t>
        </is>
      </c>
      <c r="G7" s="32" t="n">
        <v>3</v>
      </c>
      <c r="H7" s="32" t="n">
        <v>0</v>
      </c>
      <c r="I7" s="11" t="n">
        <v>0</v>
      </c>
      <c r="J7" s="11" t="n">
        <v>0</v>
      </c>
      <c r="K7" s="11" t="n">
        <v>0</v>
      </c>
      <c r="L7" s="32" t="inlineStr">
        <is>
          <t>04.09.2026</t>
        </is>
      </c>
      <c r="M7" s="11" t="n">
        <v>0</v>
      </c>
      <c r="N7" s="22" t="n">
        <v>0</v>
      </c>
      <c r="O7" s="11" t="n">
        <v>0</v>
      </c>
      <c r="P7" s="10" t="inlineStr"/>
      <c r="Q7" s="11" t="n">
        <v>0</v>
      </c>
      <c r="R7" s="10" t="inlineStr">
        <is>
          <t>Email: alesyabyt18@gmail.com | Pass: 123Byt123 | SocPass: 123Byt123!</t>
        </is>
      </c>
    </row>
    <row r="8">
      <c r="A8" s="32" t="n">
        <v>6</v>
      </c>
      <c r="B8" s="10" t="inlineStr">
        <is>
          <t>Алеся Бут (Беларусь)</t>
        </is>
      </c>
      <c r="C8" s="10" t="inlineStr">
        <is>
          <t>Лёша</t>
        </is>
      </c>
      <c r="D8" s="32" t="inlineStr">
        <is>
          <t>X (Twitter)</t>
        </is>
      </c>
      <c r="E8" s="10" t="inlineStr">
        <is>
          <t>https://x.com/ft73v5</t>
        </is>
      </c>
      <c r="F8" s="33" t="inlineStr">
        <is>
          <t>Активен</t>
        </is>
      </c>
      <c r="G8" s="32" t="n">
        <v>2</v>
      </c>
      <c r="H8" s="32" t="n">
        <v>0</v>
      </c>
      <c r="I8" s="11" t="n">
        <v>0</v>
      </c>
      <c r="J8" s="11" t="n">
        <v>0</v>
      </c>
      <c r="K8" s="11" t="n">
        <v>0</v>
      </c>
      <c r="L8" s="32" t="inlineStr">
        <is>
          <t>04.09.2026</t>
        </is>
      </c>
      <c r="M8" s="11" t="n">
        <v>0</v>
      </c>
      <c r="N8" s="22" t="n">
        <v>0</v>
      </c>
      <c r="O8" s="11" t="n">
        <v>0</v>
      </c>
      <c r="P8" s="10" t="inlineStr"/>
      <c r="Q8" s="11" t="n">
        <v>0</v>
      </c>
      <c r="R8" s="10" t="inlineStr">
        <is>
          <t>Email: alesyabyt18@gmail.com | Pass: 123Byt123 | SocPass: 123Byt123!</t>
        </is>
      </c>
    </row>
    <row r="9">
      <c r="A9" s="34" t="n">
        <v>7</v>
      </c>
      <c r="B9" s="14" t="inlineStr">
        <is>
          <t>Ян Верса (Беларусь)</t>
        </is>
      </c>
      <c r="C9" s="14" t="inlineStr">
        <is>
          <t>Лёша</t>
        </is>
      </c>
      <c r="D9" s="34" t="inlineStr">
        <is>
          <t>TikTok</t>
        </is>
      </c>
      <c r="E9" s="14" t="inlineStr">
        <is>
          <t>https://www.tiktok.com/@alesyabyt</t>
        </is>
      </c>
      <c r="F9" s="33" t="inlineStr">
        <is>
          <t>Активен</t>
        </is>
      </c>
      <c r="G9" s="34" t="n">
        <v>6</v>
      </c>
      <c r="H9" s="34" t="n">
        <v>0</v>
      </c>
      <c r="I9" s="15" t="n">
        <v>3605</v>
      </c>
      <c r="J9" s="15" t="n">
        <v>550</v>
      </c>
      <c r="K9" s="15" t="n">
        <v>0</v>
      </c>
      <c r="L9" s="34" t="inlineStr">
        <is>
          <t>04.09.2026</t>
        </is>
      </c>
      <c r="M9" s="15" t="n">
        <v>0</v>
      </c>
      <c r="N9" s="23" t="n">
        <v>0</v>
      </c>
      <c r="O9" s="15" t="n">
        <v>89</v>
      </c>
      <c r="P9" s="14" t="inlineStr">
        <is>
          <t>https://www.tiktok.com/@alesyabyt/video/7679108870115052807</t>
        </is>
      </c>
      <c r="Q9" s="15" t="n">
        <v>1056</v>
      </c>
      <c r="R9" s="14" t="inlineStr">
        <is>
          <t>Email: anveras5098@gmail.com | Pass: 123Yan123 | SocPass: 123Yan123!</t>
        </is>
      </c>
    </row>
    <row r="10">
      <c r="A10" s="34" t="n">
        <v>8</v>
      </c>
      <c r="B10" s="14" t="inlineStr">
        <is>
          <t>Ян Верса (Беларусь)</t>
        </is>
      </c>
      <c r="C10" s="14" t="inlineStr">
        <is>
          <t>Лёша</t>
        </is>
      </c>
      <c r="D10" s="34" t="inlineStr">
        <is>
          <t>YouTube</t>
        </is>
      </c>
      <c r="E10" s="14" t="inlineStr">
        <is>
          <t>https://youtube.com/channel/UCxgk7mDrX45Wb9Wv61hO75w</t>
        </is>
      </c>
      <c r="F10" s="33" t="inlineStr">
        <is>
          <t>Активен</t>
        </is>
      </c>
      <c r="G10" s="34" t="n">
        <v>5</v>
      </c>
      <c r="H10" s="34" t="n">
        <v>0</v>
      </c>
      <c r="I10" s="15" t="n">
        <v>4200</v>
      </c>
      <c r="J10" s="15" t="n">
        <v>0</v>
      </c>
      <c r="K10" s="15" t="n">
        <v>0</v>
      </c>
      <c r="L10" s="34" t="inlineStr">
        <is>
          <t>04.09.2026</t>
        </is>
      </c>
      <c r="M10" s="15" t="n">
        <v>6</v>
      </c>
      <c r="N10" s="23" t="n">
        <v>0</v>
      </c>
      <c r="O10" s="15" t="n">
        <v>0</v>
      </c>
      <c r="P10" s="14" t="inlineStr"/>
      <c r="Q10" s="15" t="n">
        <v>1100</v>
      </c>
      <c r="R10" s="14" t="inlineStr">
        <is>
          <t>Email: anveras5098@gmail.com | Pass: 123Yan123 | SocPass: 123Yan123!</t>
        </is>
      </c>
    </row>
    <row r="11">
      <c r="A11" s="34" t="n">
        <v>9</v>
      </c>
      <c r="B11" s="14" t="inlineStr">
        <is>
          <t>Ян Верса (Беларусь)</t>
        </is>
      </c>
      <c r="C11" s="14" t="inlineStr">
        <is>
          <t>Лёша</t>
        </is>
      </c>
      <c r="D11" s="34" t="inlineStr">
        <is>
          <t>Instagram</t>
        </is>
      </c>
      <c r="E11" s="14" t="inlineStr">
        <is>
          <t>https://www.instagram.com/alesabut</t>
        </is>
      </c>
      <c r="F11" s="33" t="inlineStr">
        <is>
          <t>Активен</t>
        </is>
      </c>
      <c r="G11" s="34" t="n">
        <v>5</v>
      </c>
      <c r="H11" s="34" t="n">
        <v>0</v>
      </c>
      <c r="I11" s="15" t="n">
        <v>1620</v>
      </c>
      <c r="J11" s="15" t="n">
        <v>0</v>
      </c>
      <c r="K11" s="15" t="n">
        <v>0</v>
      </c>
      <c r="L11" s="34" t="inlineStr">
        <is>
          <t>04.09.2026</t>
        </is>
      </c>
      <c r="M11" s="15" t="n">
        <v>2</v>
      </c>
      <c r="N11" s="23" t="n">
        <v>0</v>
      </c>
      <c r="O11" s="15" t="n">
        <v>0</v>
      </c>
      <c r="P11" s="14" t="inlineStr"/>
      <c r="Q11" s="15" t="n">
        <v>661</v>
      </c>
      <c r="R11" s="14" t="inlineStr">
        <is>
          <t>Email: anveras5098@gmail.com | Pass: 123Yan123 | SocPass: 123Yan123!</t>
        </is>
      </c>
    </row>
    <row r="12">
      <c r="A12" s="34" t="n">
        <v>10</v>
      </c>
      <c r="B12" s="14" t="inlineStr">
        <is>
          <t>Ян Верса (Беларусь)</t>
        </is>
      </c>
      <c r="C12" s="14" t="inlineStr">
        <is>
          <t>Лёша</t>
        </is>
      </c>
      <c r="D12" s="34" t="inlineStr">
        <is>
          <t>Facebook</t>
        </is>
      </c>
      <c r="E12" s="14" t="inlineStr">
        <is>
          <t>https://www.facebook.com/share/1GbKg4Tp5n/</t>
        </is>
      </c>
      <c r="F12" s="33" t="inlineStr">
        <is>
          <t>Активен</t>
        </is>
      </c>
      <c r="G12" s="34" t="n">
        <v>5</v>
      </c>
      <c r="H12" s="34" t="n">
        <v>0</v>
      </c>
      <c r="I12" s="15" t="n">
        <v>248</v>
      </c>
      <c r="J12" s="15" t="n">
        <v>0</v>
      </c>
      <c r="K12" s="15" t="n">
        <v>0</v>
      </c>
      <c r="L12" s="34" t="inlineStr">
        <is>
          <t>04.09.2026</t>
        </is>
      </c>
      <c r="M12" s="15" t="n">
        <v>0</v>
      </c>
      <c r="N12" s="23" t="n">
        <v>0</v>
      </c>
      <c r="O12" s="15" t="n">
        <v>0</v>
      </c>
      <c r="P12" s="14" t="inlineStr"/>
      <c r="Q12" s="15" t="n">
        <v>0</v>
      </c>
      <c r="R12" s="14" t="inlineStr">
        <is>
          <t>Email: anveras5098@gmail.com | Pass: 123Yan123 | SocPass: 123Yan123!</t>
        </is>
      </c>
    </row>
    <row r="13">
      <c r="A13" s="34" t="n">
        <v>11</v>
      </c>
      <c r="B13" s="14" t="inlineStr">
        <is>
          <t>Ян Верса (Беларусь)</t>
        </is>
      </c>
      <c r="C13" s="14" t="inlineStr">
        <is>
          <t>Лёша</t>
        </is>
      </c>
      <c r="D13" s="34" t="inlineStr">
        <is>
          <t>Threads</t>
        </is>
      </c>
      <c r="E13" s="14" t="inlineStr">
        <is>
          <t>https://www.threads.net/@anveras509</t>
        </is>
      </c>
      <c r="F13" s="33" t="inlineStr">
        <is>
          <t>Активен</t>
        </is>
      </c>
      <c r="G13" s="34" t="n">
        <v>3</v>
      </c>
      <c r="H13" s="34" t="n">
        <v>0</v>
      </c>
      <c r="I13" s="15" t="n">
        <v>0</v>
      </c>
      <c r="J13" s="15" t="n">
        <v>0</v>
      </c>
      <c r="K13" s="15" t="n">
        <v>0</v>
      </c>
      <c r="L13" s="34" t="inlineStr">
        <is>
          <t>04.09.2026</t>
        </is>
      </c>
      <c r="M13" s="15" t="n">
        <v>509</v>
      </c>
      <c r="N13" s="23" t="n">
        <v>0</v>
      </c>
      <c r="O13" s="15" t="n">
        <v>0</v>
      </c>
      <c r="P13" s="14" t="inlineStr"/>
      <c r="Q13" s="15" t="n">
        <v>0</v>
      </c>
      <c r="R13" s="14" t="inlineStr">
        <is>
          <t>Email: anveras5098@gmail.com | Pass: 123Yan123 | SocPass: 123Yan123!</t>
        </is>
      </c>
    </row>
    <row r="14">
      <c r="A14" s="34" t="n">
        <v>12</v>
      </c>
      <c r="B14" s="14" t="inlineStr">
        <is>
          <t>Ян Верса (Беларусь)</t>
        </is>
      </c>
      <c r="C14" s="14" t="inlineStr">
        <is>
          <t>Лёша</t>
        </is>
      </c>
      <c r="D14" s="34" t="inlineStr">
        <is>
          <t>X (Twitter)</t>
        </is>
      </c>
      <c r="E14" s="14" t="inlineStr">
        <is>
          <t>https://x.com/neaz8b</t>
        </is>
      </c>
      <c r="F14" s="33" t="inlineStr">
        <is>
          <t>Активен</t>
        </is>
      </c>
      <c r="G14" s="34" t="n">
        <v>3</v>
      </c>
      <c r="H14" s="34" t="n">
        <v>0</v>
      </c>
      <c r="I14" s="15" t="n">
        <v>0</v>
      </c>
      <c r="J14" s="15" t="n">
        <v>0</v>
      </c>
      <c r="K14" s="15" t="n">
        <v>0</v>
      </c>
      <c r="L14" s="34" t="inlineStr">
        <is>
          <t>04.09.2026</t>
        </is>
      </c>
      <c r="M14" s="15" t="n">
        <v>0</v>
      </c>
      <c r="N14" s="23" t="n">
        <v>0</v>
      </c>
      <c r="O14" s="15" t="n">
        <v>0</v>
      </c>
      <c r="P14" s="14" t="inlineStr"/>
      <c r="Q14" s="15" t="n">
        <v>0</v>
      </c>
      <c r="R14" s="14" t="inlineStr">
        <is>
          <t>Email: anveras5098@gmail.com | Pass: 123Yan123 | SocPass: 123Yan123!</t>
        </is>
      </c>
    </row>
    <row r="15">
      <c r="A15" s="32" t="n">
        <v>13</v>
      </c>
      <c r="B15" s="10" t="inlineStr">
        <is>
          <t>Baraka Otieno (Кения)</t>
        </is>
      </c>
      <c r="C15" s="10" t="inlineStr">
        <is>
          <t>Саша</t>
        </is>
      </c>
      <c r="D15" s="32" t="inlineStr">
        <is>
          <t>TikTok</t>
        </is>
      </c>
      <c r="E15" s="10" t="inlineStr">
        <is>
          <t>https://www.tiktok.com/@baraka.otieno8</t>
        </is>
      </c>
      <c r="F15" s="33" t="inlineStr">
        <is>
          <t>Активен</t>
        </is>
      </c>
      <c r="G15" s="32" t="n">
        <v>6</v>
      </c>
      <c r="H15" s="32" t="n">
        <v>0</v>
      </c>
      <c r="I15" s="11" t="n">
        <v>3267</v>
      </c>
      <c r="J15" s="11" t="n">
        <v>47</v>
      </c>
      <c r="K15" s="11" t="n">
        <v>0</v>
      </c>
      <c r="L15" s="32" t="inlineStr">
        <is>
          <t>04.09.2026</t>
        </is>
      </c>
      <c r="M15" s="11" t="n">
        <v>3</v>
      </c>
      <c r="N15" s="22" t="n">
        <v>0</v>
      </c>
      <c r="O15" s="11" t="n">
        <v>106</v>
      </c>
      <c r="P15" s="10" t="inlineStr">
        <is>
          <t>https://www.tiktok.com/@baraka.otieno8/video/7680945027325005064</t>
        </is>
      </c>
      <c r="Q15" s="11" t="n">
        <v>875</v>
      </c>
      <c r="R15" s="10" t="inlineStr">
        <is>
          <t>Email: otienobaraka20@gmail.com | Pass: O))))))1</t>
        </is>
      </c>
    </row>
    <row r="16">
      <c r="A16" s="32" t="n">
        <v>14</v>
      </c>
      <c r="B16" s="10" t="inlineStr">
        <is>
          <t>Baraka Otieno (Кения)</t>
        </is>
      </c>
      <c r="C16" s="10" t="inlineStr">
        <is>
          <t>Саша</t>
        </is>
      </c>
      <c r="D16" s="32" t="inlineStr">
        <is>
          <t>YouTube</t>
        </is>
      </c>
      <c r="E16" s="10" t="inlineStr">
        <is>
          <t>https://www.youtube.com/@BarakaOtieno-t9y</t>
        </is>
      </c>
      <c r="F16" s="33" t="inlineStr">
        <is>
          <t>Активен</t>
        </is>
      </c>
      <c r="G16" s="32" t="n">
        <v>1</v>
      </c>
      <c r="H16" s="32" t="n">
        <v>0</v>
      </c>
      <c r="I16" s="11" t="n">
        <v>2</v>
      </c>
      <c r="J16" s="11" t="n">
        <v>0</v>
      </c>
      <c r="K16" s="11" t="n">
        <v>0</v>
      </c>
      <c r="L16" s="32" t="inlineStr">
        <is>
          <t>04.09.2026</t>
        </is>
      </c>
      <c r="M16" s="11" t="n">
        <v>0</v>
      </c>
      <c r="N16" s="22" t="n">
        <v>0</v>
      </c>
      <c r="O16" s="11" t="n">
        <v>0</v>
      </c>
      <c r="P16" s="10" t="inlineStr"/>
      <c r="Q16" s="11" t="n">
        <v>2</v>
      </c>
      <c r="R16" s="10" t="inlineStr">
        <is>
          <t>Email: otienobaraka20@gmail.com | Pass: O))))))1</t>
        </is>
      </c>
    </row>
    <row r="17">
      <c r="A17" s="32" t="n">
        <v>15</v>
      </c>
      <c r="B17" s="10" t="inlineStr">
        <is>
          <t>Baraka Otieno (Кения)</t>
        </is>
      </c>
      <c r="C17" s="10" t="inlineStr">
        <is>
          <t>Саша</t>
        </is>
      </c>
      <c r="D17" s="32" t="inlineStr">
        <is>
          <t>Instagram</t>
        </is>
      </c>
      <c r="E17" s="10" t="inlineStr">
        <is>
          <t>https://www.instagram.com/otienobarakaa</t>
        </is>
      </c>
      <c r="F17" s="33" t="inlineStr">
        <is>
          <t>Активен</t>
        </is>
      </c>
      <c r="G17" s="32" t="n">
        <v>0</v>
      </c>
      <c r="H17" s="32" t="n">
        <v>0</v>
      </c>
      <c r="I17" s="11" t="n">
        <v>0</v>
      </c>
      <c r="J17" s="11" t="n">
        <v>0</v>
      </c>
      <c r="K17" s="11" t="n">
        <v>0</v>
      </c>
      <c r="L17" s="32" t="inlineStr">
        <is>
          <t>04.09.2026</t>
        </is>
      </c>
      <c r="M17" s="11" t="n">
        <v>1</v>
      </c>
      <c r="N17" s="22" t="n">
        <v>0</v>
      </c>
      <c r="O17" s="11" t="n">
        <v>0</v>
      </c>
      <c r="P17" s="10" t="inlineStr"/>
      <c r="Q17" s="11" t="n">
        <v>0</v>
      </c>
      <c r="R17" s="10" t="inlineStr">
        <is>
          <t>Email: otienobaraka20@gmail.com | Pass: O))))))1</t>
        </is>
      </c>
    </row>
    <row r="18">
      <c r="A18" s="32" t="n">
        <v>16</v>
      </c>
      <c r="B18" s="10" t="inlineStr">
        <is>
          <t>Baraka Otieno (Кения)</t>
        </is>
      </c>
      <c r="C18" s="10" t="inlineStr">
        <is>
          <t>Саша</t>
        </is>
      </c>
      <c r="D18" s="32" t="inlineStr">
        <is>
          <t>Facebook</t>
        </is>
      </c>
      <c r="E18" s="10" t="inlineStr">
        <is>
          <t>https://www.facebook.com/profile.php?id=61594225224413</t>
        </is>
      </c>
      <c r="F18" s="33" t="inlineStr">
        <is>
          <t>Активен</t>
        </is>
      </c>
      <c r="G18" s="32" t="n">
        <v>0</v>
      </c>
      <c r="H18" s="32" t="n">
        <v>0</v>
      </c>
      <c r="I18" s="11" t="n">
        <v>0</v>
      </c>
      <c r="J18" s="11" t="n">
        <v>0</v>
      </c>
      <c r="K18" s="11" t="n">
        <v>0</v>
      </c>
      <c r="L18" s="32" t="inlineStr">
        <is>
          <t>04.09.2026</t>
        </is>
      </c>
      <c r="M18" s="11" t="n">
        <v>0</v>
      </c>
      <c r="N18" s="22" t="n">
        <v>0</v>
      </c>
      <c r="O18" s="11" t="n">
        <v>0</v>
      </c>
      <c r="P18" s="10" t="inlineStr"/>
      <c r="Q18" s="11" t="n">
        <v>0</v>
      </c>
      <c r="R18" s="10" t="inlineStr">
        <is>
          <t>Email: otienobaraka20@gmail.com | Pass: O))))))1</t>
        </is>
      </c>
    </row>
    <row r="19">
      <c r="A19" s="32" t="n">
        <v>17</v>
      </c>
      <c r="B19" s="10" t="inlineStr">
        <is>
          <t>Baraka Otieno (Кения)</t>
        </is>
      </c>
      <c r="C19" s="10" t="inlineStr">
        <is>
          <t>Саша</t>
        </is>
      </c>
      <c r="D19" s="32" t="inlineStr">
        <is>
          <t>Threads</t>
        </is>
      </c>
      <c r="E19" s="10" t="inlineStr">
        <is>
          <t>https://www.threads.net/@otienobarakaa</t>
        </is>
      </c>
      <c r="F19" s="33" t="inlineStr">
        <is>
          <t>Активен</t>
        </is>
      </c>
      <c r="G19" s="32" t="n">
        <v>0</v>
      </c>
      <c r="H19" s="32" t="n">
        <v>0</v>
      </c>
      <c r="I19" s="11" t="n">
        <v>0</v>
      </c>
      <c r="J19" s="11" t="n">
        <v>0</v>
      </c>
      <c r="K19" s="11" t="n">
        <v>0</v>
      </c>
      <c r="L19" s="32" t="inlineStr">
        <is>
          <t>04.09.2026</t>
        </is>
      </c>
      <c r="M19" s="11" t="n">
        <v>0</v>
      </c>
      <c r="N19" s="22" t="n">
        <v>0</v>
      </c>
      <c r="O19" s="11" t="n">
        <v>0</v>
      </c>
      <c r="P19" s="10" t="inlineStr"/>
      <c r="Q19" s="11" t="n">
        <v>0</v>
      </c>
      <c r="R19" s="10" t="inlineStr">
        <is>
          <t>Email: otienobaraka20@gmail.com | Pass: O))))))1</t>
        </is>
      </c>
    </row>
    <row r="20">
      <c r="A20" s="32" t="n">
        <v>18</v>
      </c>
      <c r="B20" s="10" t="inlineStr">
        <is>
          <t>Baraka Otieno (Кения)</t>
        </is>
      </c>
      <c r="C20" s="10" t="inlineStr">
        <is>
          <t>Саша</t>
        </is>
      </c>
      <c r="D20" s="32" t="inlineStr">
        <is>
          <t>X (Twitter)</t>
        </is>
      </c>
      <c r="E20" s="10" t="inlineStr"/>
      <c r="F20" s="35" t="inlineStr">
        <is>
          <t>Нет ссылки</t>
        </is>
      </c>
      <c r="G20" s="32" t="n">
        <v>0</v>
      </c>
      <c r="H20" s="32" t="n">
        <v>0</v>
      </c>
      <c r="I20" s="11" t="n">
        <v>0</v>
      </c>
      <c r="J20" s="11" t="n">
        <v>0</v>
      </c>
      <c r="K20" s="11" t="n">
        <v>0</v>
      </c>
      <c r="L20" s="32" t="inlineStr">
        <is>
          <t>04.09.2026</t>
        </is>
      </c>
      <c r="M20" s="11" t="n">
        <v>0</v>
      </c>
      <c r="N20" s="22" t="n">
        <v>0</v>
      </c>
      <c r="O20" s="11" t="n">
        <v>0</v>
      </c>
      <c r="P20" s="10" t="inlineStr"/>
      <c r="Q20" s="11" t="n">
        <v>0</v>
      </c>
      <c r="R20" s="10" t="inlineStr">
        <is>
          <t>Email: otienobaraka20@gmail.com | Pass: O))))))1</t>
        </is>
      </c>
    </row>
    <row r="21">
      <c r="A21" s="34" t="n">
        <v>19</v>
      </c>
      <c r="B21" s="14" t="inlineStr">
        <is>
          <t>Grace Muthioni (Кения)</t>
        </is>
      </c>
      <c r="C21" s="14" t="inlineStr">
        <is>
          <t>Саша</t>
        </is>
      </c>
      <c r="D21" s="34" t="inlineStr">
        <is>
          <t>TikTok</t>
        </is>
      </c>
      <c r="E21" s="14" t="inlineStr">
        <is>
          <t>https://www.tiktok.com/@grace.muthioni</t>
        </is>
      </c>
      <c r="F21" s="33" t="inlineStr">
        <is>
          <t>Активен</t>
        </is>
      </c>
      <c r="G21" s="34" t="n">
        <v>6</v>
      </c>
      <c r="H21" s="34" t="n">
        <v>0</v>
      </c>
      <c r="I21" s="15" t="n">
        <v>1516</v>
      </c>
      <c r="J21" s="15" t="n">
        <v>52</v>
      </c>
      <c r="K21" s="15" t="n">
        <v>0</v>
      </c>
      <c r="L21" s="34" t="inlineStr">
        <is>
          <t>04.09.2026</t>
        </is>
      </c>
      <c r="M21" s="15" t="n">
        <v>3</v>
      </c>
      <c r="N21" s="23" t="n">
        <v>0</v>
      </c>
      <c r="O21" s="15" t="n">
        <v>60</v>
      </c>
      <c r="P21" s="14" t="inlineStr">
        <is>
          <t>https://www.tiktok.com/@grace.muthioni/video/7681208753944907028</t>
        </is>
      </c>
      <c r="Q21" s="15" t="n">
        <v>528</v>
      </c>
      <c r="R21" s="14" t="inlineStr">
        <is>
          <t>Email: muthionig@gmail.com | Pass: M))))))1</t>
        </is>
      </c>
    </row>
    <row r="22">
      <c r="A22" s="34" t="n">
        <v>20</v>
      </c>
      <c r="B22" s="14" t="inlineStr">
        <is>
          <t>Grace Muthioni (Кения)</t>
        </is>
      </c>
      <c r="C22" s="14" t="inlineStr">
        <is>
          <t>Саша</t>
        </is>
      </c>
      <c r="D22" s="34" t="inlineStr">
        <is>
          <t>YouTube</t>
        </is>
      </c>
      <c r="E22" s="14" t="inlineStr">
        <is>
          <t>https://www.youtube.com/@GraceMuthioni</t>
        </is>
      </c>
      <c r="F22" s="33" t="inlineStr">
        <is>
          <t>Активен</t>
        </is>
      </c>
      <c r="G22" s="34" t="n">
        <v>1</v>
      </c>
      <c r="H22" s="34" t="n">
        <v>0</v>
      </c>
      <c r="I22" s="15" t="n">
        <v>11</v>
      </c>
      <c r="J22" s="15" t="n">
        <v>7</v>
      </c>
      <c r="K22" s="15" t="n">
        <v>0</v>
      </c>
      <c r="L22" s="34" t="inlineStr">
        <is>
          <t>04.09.2026</t>
        </is>
      </c>
      <c r="M22" s="15" t="n">
        <v>0</v>
      </c>
      <c r="N22" s="23" t="n">
        <v>0</v>
      </c>
      <c r="O22" s="15" t="n">
        <v>0</v>
      </c>
      <c r="P22" s="14" t="inlineStr"/>
      <c r="Q22" s="15" t="n">
        <v>11</v>
      </c>
      <c r="R22" s="14" t="inlineStr">
        <is>
          <t>Email: muthionig@gmail.com | Pass: M))))))1</t>
        </is>
      </c>
    </row>
    <row r="23">
      <c r="A23" s="34" t="n">
        <v>21</v>
      </c>
      <c r="B23" s="14" t="inlineStr">
        <is>
          <t>Grace Muthioni (Кения)</t>
        </is>
      </c>
      <c r="C23" s="14" t="inlineStr">
        <is>
          <t>Саша</t>
        </is>
      </c>
      <c r="D23" s="34" t="inlineStr">
        <is>
          <t>Instagram</t>
        </is>
      </c>
      <c r="E23" s="14" t="inlineStr">
        <is>
          <t>https://www.instagram.com/gracemuthioni</t>
        </is>
      </c>
      <c r="F23" s="33" t="inlineStr">
        <is>
          <t>Активен</t>
        </is>
      </c>
      <c r="G23" s="34" t="n">
        <v>0</v>
      </c>
      <c r="H23" s="34" t="n">
        <v>0</v>
      </c>
      <c r="I23" s="15" t="n">
        <v>0</v>
      </c>
      <c r="J23" s="15" t="n">
        <v>0</v>
      </c>
      <c r="K23" s="15" t="n">
        <v>0</v>
      </c>
      <c r="L23" s="34" t="inlineStr">
        <is>
          <t>04.09.2026</t>
        </is>
      </c>
      <c r="M23" s="15" t="n">
        <v>2</v>
      </c>
      <c r="N23" s="23" t="n">
        <v>0</v>
      </c>
      <c r="O23" s="15" t="n">
        <v>0</v>
      </c>
      <c r="P23" s="14" t="inlineStr"/>
      <c r="Q23" s="15" t="n">
        <v>0</v>
      </c>
      <c r="R23" s="14" t="inlineStr">
        <is>
          <t>Email: muthionig@gmail.com | Pass: M))))))1</t>
        </is>
      </c>
    </row>
    <row r="24">
      <c r="A24" s="34" t="n">
        <v>22</v>
      </c>
      <c r="B24" s="14" t="inlineStr">
        <is>
          <t>Grace Muthioni (Кения)</t>
        </is>
      </c>
      <c r="C24" s="14" t="inlineStr">
        <is>
          <t>Саша</t>
        </is>
      </c>
      <c r="D24" s="34" t="inlineStr">
        <is>
          <t>Facebook</t>
        </is>
      </c>
      <c r="E24" s="14" t="inlineStr">
        <is>
          <t>https://www.facebook.com/share/19Yipg1q9R/</t>
        </is>
      </c>
      <c r="F24" s="33" t="inlineStr">
        <is>
          <t>Активен</t>
        </is>
      </c>
      <c r="G24" s="34" t="n">
        <v>0</v>
      </c>
      <c r="H24" s="34" t="n">
        <v>0</v>
      </c>
      <c r="I24" s="15" t="n">
        <v>0</v>
      </c>
      <c r="J24" s="15" t="n">
        <v>0</v>
      </c>
      <c r="K24" s="15" t="n">
        <v>0</v>
      </c>
      <c r="L24" s="34" t="inlineStr">
        <is>
          <t>04.09.2026</t>
        </is>
      </c>
      <c r="M24" s="15" t="n">
        <v>0</v>
      </c>
      <c r="N24" s="23" t="n">
        <v>0</v>
      </c>
      <c r="O24" s="15" t="n">
        <v>0</v>
      </c>
      <c r="P24" s="14" t="inlineStr"/>
      <c r="Q24" s="15" t="n">
        <v>0</v>
      </c>
      <c r="R24" s="14" t="inlineStr">
        <is>
          <t>Email: muthionig@gmail.com | Pass: M))))))1</t>
        </is>
      </c>
    </row>
    <row r="25">
      <c r="A25" s="34" t="n">
        <v>23</v>
      </c>
      <c r="B25" s="14" t="inlineStr">
        <is>
          <t>Grace Muthioni (Кения)</t>
        </is>
      </c>
      <c r="C25" s="14" t="inlineStr">
        <is>
          <t>Саша</t>
        </is>
      </c>
      <c r="D25" s="34" t="inlineStr">
        <is>
          <t>Threads</t>
        </is>
      </c>
      <c r="E25" s="14" t="inlineStr">
        <is>
          <t>https://www.threads.net/@gracemuthioni</t>
        </is>
      </c>
      <c r="F25" s="33" t="inlineStr">
        <is>
          <t>Активен</t>
        </is>
      </c>
      <c r="G25" s="34" t="n">
        <v>0</v>
      </c>
      <c r="H25" s="34" t="n">
        <v>0</v>
      </c>
      <c r="I25" s="15" t="n">
        <v>0</v>
      </c>
      <c r="J25" s="15" t="n">
        <v>0</v>
      </c>
      <c r="K25" s="15" t="n">
        <v>0</v>
      </c>
      <c r="L25" s="34" t="inlineStr">
        <is>
          <t>04.09.2026</t>
        </is>
      </c>
      <c r="M25" s="15" t="n">
        <v>0</v>
      </c>
      <c r="N25" s="23" t="n">
        <v>0</v>
      </c>
      <c r="O25" s="15" t="n">
        <v>0</v>
      </c>
      <c r="P25" s="14" t="inlineStr"/>
      <c r="Q25" s="15" t="n">
        <v>0</v>
      </c>
      <c r="R25" s="14" t="inlineStr">
        <is>
          <t>Email: muthionig@gmail.com | Pass: M))))))1</t>
        </is>
      </c>
    </row>
    <row r="26">
      <c r="A26" s="34" t="n">
        <v>24</v>
      </c>
      <c r="B26" s="14" t="inlineStr">
        <is>
          <t>Grace Muthioni (Кения)</t>
        </is>
      </c>
      <c r="C26" s="14" t="inlineStr">
        <is>
          <t>Саша</t>
        </is>
      </c>
      <c r="D26" s="34" t="inlineStr">
        <is>
          <t>X (Twitter)</t>
        </is>
      </c>
      <c r="E26" s="14" t="inlineStr"/>
      <c r="F26" s="35" t="inlineStr">
        <is>
          <t>Нет ссылки</t>
        </is>
      </c>
      <c r="G26" s="34" t="n">
        <v>0</v>
      </c>
      <c r="H26" s="34" t="n">
        <v>0</v>
      </c>
      <c r="I26" s="15" t="n">
        <v>0</v>
      </c>
      <c r="J26" s="15" t="n">
        <v>0</v>
      </c>
      <c r="K26" s="15" t="n">
        <v>0</v>
      </c>
      <c r="L26" s="34" t="inlineStr">
        <is>
          <t>04.09.2026</t>
        </is>
      </c>
      <c r="M26" s="15" t="n">
        <v>0</v>
      </c>
      <c r="N26" s="23" t="n">
        <v>0</v>
      </c>
      <c r="O26" s="15" t="n">
        <v>0</v>
      </c>
      <c r="P26" s="14" t="inlineStr"/>
      <c r="Q26" s="15" t="n">
        <v>0</v>
      </c>
      <c r="R26" s="14" t="inlineStr">
        <is>
          <t>Email: muthionig@gmail.com | Pass: M))))))1</t>
        </is>
      </c>
    </row>
    <row r="27">
      <c r="A27" s="32" t="n">
        <v>25</v>
      </c>
      <c r="B27" s="10" t="inlineStr">
        <is>
          <t>Kaan Turan (Турция)</t>
        </is>
      </c>
      <c r="C27" s="10" t="inlineStr">
        <is>
          <t>Саша</t>
        </is>
      </c>
      <c r="D27" s="32" t="inlineStr">
        <is>
          <t>TikTok</t>
        </is>
      </c>
      <c r="E27" s="10" t="inlineStr">
        <is>
          <t>https://www.tiktok.com/@kaan.turan225</t>
        </is>
      </c>
      <c r="F27" s="33" t="inlineStr">
        <is>
          <t>Активен</t>
        </is>
      </c>
      <c r="G27" s="32" t="n">
        <v>9</v>
      </c>
      <c r="H27" s="32" t="n">
        <v>0</v>
      </c>
      <c r="I27" s="11" t="n">
        <v>5342</v>
      </c>
      <c r="J27" s="11" t="n">
        <v>179</v>
      </c>
      <c r="K27" s="11" t="n">
        <v>0</v>
      </c>
      <c r="L27" s="32" t="inlineStr">
        <is>
          <t>04.09.2026</t>
        </is>
      </c>
      <c r="M27" s="11" t="n">
        <v>5</v>
      </c>
      <c r="N27" s="22" t="n">
        <v>0</v>
      </c>
      <c r="O27" s="11" t="n">
        <v>89</v>
      </c>
      <c r="P27" s="10" t="inlineStr">
        <is>
          <t>https://www.tiktok.com/@kaan.turan225/video/7681297652310412562</t>
        </is>
      </c>
      <c r="Q27" s="11" t="n">
        <v>1089</v>
      </c>
      <c r="R27" s="10" t="inlineStr">
        <is>
          <t>Email: kaanturaaan@gmail.com | Pass: K))))))1</t>
        </is>
      </c>
    </row>
    <row r="28">
      <c r="A28" s="32" t="n">
        <v>26</v>
      </c>
      <c r="B28" s="10" t="inlineStr">
        <is>
          <t>Kaan Turan (Турция)</t>
        </is>
      </c>
      <c r="C28" s="10" t="inlineStr">
        <is>
          <t>Саша</t>
        </is>
      </c>
      <c r="D28" s="32" t="inlineStr">
        <is>
          <t>YouTube</t>
        </is>
      </c>
      <c r="E28" s="10" t="inlineStr">
        <is>
          <t>https://www.youtube.com/@KAANTURAN-e5k</t>
        </is>
      </c>
      <c r="F28" s="33" t="inlineStr">
        <is>
          <t>Активен</t>
        </is>
      </c>
      <c r="G28" s="32" t="n">
        <v>2</v>
      </c>
      <c r="H28" s="32" t="n">
        <v>0</v>
      </c>
      <c r="I28" s="11" t="n">
        <v>377</v>
      </c>
      <c r="J28" s="11" t="n">
        <v>110</v>
      </c>
      <c r="K28" s="11" t="n">
        <v>0</v>
      </c>
      <c r="L28" s="32" t="inlineStr">
        <is>
          <t>04.09.2026</t>
        </is>
      </c>
      <c r="M28" s="11" t="n">
        <v>0</v>
      </c>
      <c r="N28" s="22" t="n">
        <v>0</v>
      </c>
      <c r="O28" s="11" t="n">
        <v>0</v>
      </c>
      <c r="P28" s="10" t="inlineStr"/>
      <c r="Q28" s="11" t="n">
        <v>272</v>
      </c>
      <c r="R28" s="10" t="inlineStr">
        <is>
          <t>Email: kaanturaaan@gmail.com | Pass: K))))))1</t>
        </is>
      </c>
    </row>
    <row r="29">
      <c r="A29" s="32" t="n">
        <v>27</v>
      </c>
      <c r="B29" s="10" t="inlineStr">
        <is>
          <t>Kaan Turan (Турция)</t>
        </is>
      </c>
      <c r="C29" s="10" t="inlineStr">
        <is>
          <t>Саша</t>
        </is>
      </c>
      <c r="D29" s="32" t="inlineStr">
        <is>
          <t>Instagram</t>
        </is>
      </c>
      <c r="E29" s="10" t="inlineStr">
        <is>
          <t>Бан</t>
        </is>
      </c>
      <c r="F29" s="36" t="inlineStr">
        <is>
          <t>БАН</t>
        </is>
      </c>
      <c r="G29" s="32" t="n">
        <v>0</v>
      </c>
      <c r="H29" s="32" t="n">
        <v>0</v>
      </c>
      <c r="I29" s="11" t="n">
        <v>0</v>
      </c>
      <c r="J29" s="11" t="n">
        <v>0</v>
      </c>
      <c r="K29" s="11" t="n">
        <v>0</v>
      </c>
      <c r="L29" s="32" t="inlineStr">
        <is>
          <t>04.09.2026</t>
        </is>
      </c>
      <c r="M29" s="11" t="n">
        <v>0</v>
      </c>
      <c r="N29" s="22" t="n">
        <v>0</v>
      </c>
      <c r="O29" s="11" t="n">
        <v>0</v>
      </c>
      <c r="P29" s="10" t="inlineStr"/>
      <c r="Q29" s="11" t="n">
        <v>0</v>
      </c>
      <c r="R29" s="10" t="inlineStr">
        <is>
          <t>Email: kaanturaaan@gmail.com | Pass: K))))))1</t>
        </is>
      </c>
    </row>
    <row r="30">
      <c r="A30" s="32" t="n">
        <v>28</v>
      </c>
      <c r="B30" s="10" t="inlineStr">
        <is>
          <t>Kaan Turan (Турция)</t>
        </is>
      </c>
      <c r="C30" s="10" t="inlineStr">
        <is>
          <t>Саша</t>
        </is>
      </c>
      <c r="D30" s="32" t="inlineStr">
        <is>
          <t>Facebook</t>
        </is>
      </c>
      <c r="E30" s="10" t="inlineStr">
        <is>
          <t>Бан</t>
        </is>
      </c>
      <c r="F30" s="36" t="inlineStr">
        <is>
          <t>БАН</t>
        </is>
      </c>
      <c r="G30" s="32" t="n">
        <v>0</v>
      </c>
      <c r="H30" s="32" t="n">
        <v>0</v>
      </c>
      <c r="I30" s="11" t="n">
        <v>0</v>
      </c>
      <c r="J30" s="11" t="n">
        <v>0</v>
      </c>
      <c r="K30" s="11" t="n">
        <v>0</v>
      </c>
      <c r="L30" s="32" t="inlineStr">
        <is>
          <t>04.09.2026</t>
        </is>
      </c>
      <c r="M30" s="11" t="n">
        <v>0</v>
      </c>
      <c r="N30" s="22" t="n">
        <v>0</v>
      </c>
      <c r="O30" s="11" t="n">
        <v>0</v>
      </c>
      <c r="P30" s="10" t="inlineStr"/>
      <c r="Q30" s="11" t="n">
        <v>0</v>
      </c>
      <c r="R30" s="10" t="inlineStr">
        <is>
          <t>Email: kaanturaaan@gmail.com | Pass: K))))))1</t>
        </is>
      </c>
    </row>
    <row r="31">
      <c r="A31" s="32" t="n">
        <v>29</v>
      </c>
      <c r="B31" s="10" t="inlineStr">
        <is>
          <t>Kaan Turan (Турция)</t>
        </is>
      </c>
      <c r="C31" s="10" t="inlineStr">
        <is>
          <t>Саша</t>
        </is>
      </c>
      <c r="D31" s="32" t="inlineStr">
        <is>
          <t>Threads</t>
        </is>
      </c>
      <c r="E31" s="10" t="inlineStr">
        <is>
          <t>Бан</t>
        </is>
      </c>
      <c r="F31" s="36" t="inlineStr">
        <is>
          <t>БАН</t>
        </is>
      </c>
      <c r="G31" s="32" t="n">
        <v>0</v>
      </c>
      <c r="H31" s="32" t="n">
        <v>0</v>
      </c>
      <c r="I31" s="11" t="n">
        <v>0</v>
      </c>
      <c r="J31" s="11" t="n">
        <v>0</v>
      </c>
      <c r="K31" s="11" t="n">
        <v>0</v>
      </c>
      <c r="L31" s="32" t="inlineStr">
        <is>
          <t>04.09.2026</t>
        </is>
      </c>
      <c r="M31" s="11" t="n">
        <v>0</v>
      </c>
      <c r="N31" s="22" t="n">
        <v>0</v>
      </c>
      <c r="O31" s="11" t="n">
        <v>0</v>
      </c>
      <c r="P31" s="10" t="inlineStr"/>
      <c r="Q31" s="11" t="n">
        <v>0</v>
      </c>
      <c r="R31" s="10" t="inlineStr">
        <is>
          <t>Email: kaanturaaan@gmail.com | Pass: K))))))1</t>
        </is>
      </c>
    </row>
    <row r="32">
      <c r="A32" s="32" t="n">
        <v>30</v>
      </c>
      <c r="B32" s="10" t="inlineStr">
        <is>
          <t>Kaan Turan (Турция)</t>
        </is>
      </c>
      <c r="C32" s="10" t="inlineStr">
        <is>
          <t>Саша</t>
        </is>
      </c>
      <c r="D32" s="32" t="inlineStr">
        <is>
          <t>X (Twitter)</t>
        </is>
      </c>
      <c r="E32" s="10" t="inlineStr"/>
      <c r="F32" s="35" t="inlineStr">
        <is>
          <t>Нет ссылки</t>
        </is>
      </c>
      <c r="G32" s="32" t="n">
        <v>0</v>
      </c>
      <c r="H32" s="32" t="n">
        <v>0</v>
      </c>
      <c r="I32" s="11" t="n">
        <v>0</v>
      </c>
      <c r="J32" s="11" t="n">
        <v>0</v>
      </c>
      <c r="K32" s="11" t="n">
        <v>0</v>
      </c>
      <c r="L32" s="32" t="inlineStr">
        <is>
          <t>04.09.2026</t>
        </is>
      </c>
      <c r="M32" s="11" t="n">
        <v>0</v>
      </c>
      <c r="N32" s="22" t="n">
        <v>0</v>
      </c>
      <c r="O32" s="11" t="n">
        <v>0</v>
      </c>
      <c r="P32" s="10" t="inlineStr"/>
      <c r="Q32" s="11" t="n">
        <v>0</v>
      </c>
      <c r="R32" s="10" t="inlineStr">
        <is>
          <t>Email: kaanturaaan@gmail.com | Pass: K))))))1</t>
        </is>
      </c>
    </row>
    <row r="33">
      <c r="A33" s="34" t="n">
        <v>31</v>
      </c>
      <c r="B33" s="14" t="inlineStr">
        <is>
          <t>Melissa Kara (Турция)</t>
        </is>
      </c>
      <c r="C33" s="14" t="inlineStr">
        <is>
          <t>Саша</t>
        </is>
      </c>
      <c r="D33" s="34" t="inlineStr">
        <is>
          <t>TikTok</t>
        </is>
      </c>
      <c r="E33" s="14" t="inlineStr">
        <is>
          <t>https://www.tiktok.com/@melissa.kara47</t>
        </is>
      </c>
      <c r="F33" s="33" t="inlineStr">
        <is>
          <t>Активен</t>
        </is>
      </c>
      <c r="G33" s="34" t="n">
        <v>9</v>
      </c>
      <c r="H33" s="34" t="n">
        <v>0</v>
      </c>
      <c r="I33" s="15" t="n">
        <v>4418</v>
      </c>
      <c r="J33" s="15" t="n">
        <v>44</v>
      </c>
      <c r="K33" s="15" t="n">
        <v>0</v>
      </c>
      <c r="L33" s="34" t="inlineStr">
        <is>
          <t>04.09.2026</t>
        </is>
      </c>
      <c r="M33" s="15" t="n">
        <v>6</v>
      </c>
      <c r="N33" s="23" t="n">
        <v>0</v>
      </c>
      <c r="O33" s="15" t="n">
        <v>77</v>
      </c>
      <c r="P33" s="14" t="inlineStr">
        <is>
          <t>https://www.tiktok.com/@melissa.kara47/video/7680583510163344661</t>
        </is>
      </c>
      <c r="Q33" s="15" t="n">
        <v>794</v>
      </c>
      <c r="R33" s="14" t="inlineStr">
        <is>
          <t>Email: lexivargo6@gmail.com | Pass: L))))))1</t>
        </is>
      </c>
    </row>
    <row r="34">
      <c r="A34" s="34" t="n">
        <v>32</v>
      </c>
      <c r="B34" s="14" t="inlineStr">
        <is>
          <t>Melissa Kara (Турция)</t>
        </is>
      </c>
      <c r="C34" s="14" t="inlineStr">
        <is>
          <t>Саша</t>
        </is>
      </c>
      <c r="D34" s="34" t="inlineStr">
        <is>
          <t>YouTube</t>
        </is>
      </c>
      <c r="E34" s="14" t="inlineStr">
        <is>
          <t>https://www.youtube.com/@MelissaKaraaa</t>
        </is>
      </c>
      <c r="F34" s="33" t="inlineStr">
        <is>
          <t>Активен</t>
        </is>
      </c>
      <c r="G34" s="34" t="n">
        <v>2</v>
      </c>
      <c r="H34" s="34" t="n">
        <v>0</v>
      </c>
      <c r="I34" s="15" t="n">
        <v>1398</v>
      </c>
      <c r="J34" s="15" t="n">
        <v>289</v>
      </c>
      <c r="K34" s="15" t="n">
        <v>0</v>
      </c>
      <c r="L34" s="34" t="inlineStr">
        <is>
          <t>04.09.2026</t>
        </is>
      </c>
      <c r="M34" s="15" t="n">
        <v>1</v>
      </c>
      <c r="N34" s="23" t="n">
        <v>0</v>
      </c>
      <c r="O34" s="15" t="n">
        <v>0</v>
      </c>
      <c r="P34" s="14" t="inlineStr"/>
      <c r="Q34" s="15" t="n">
        <v>1100</v>
      </c>
      <c r="R34" s="14" t="inlineStr">
        <is>
          <t>Email: lexivargo6@gmail.com | Pass: L))))))1</t>
        </is>
      </c>
    </row>
    <row r="35">
      <c r="A35" s="34" t="n">
        <v>33</v>
      </c>
      <c r="B35" s="14" t="inlineStr">
        <is>
          <t>Melissa Kara (Турция)</t>
        </is>
      </c>
      <c r="C35" s="14" t="inlineStr">
        <is>
          <t>Саша</t>
        </is>
      </c>
      <c r="D35" s="34" t="inlineStr">
        <is>
          <t>Instagram</t>
        </is>
      </c>
      <c r="E35" s="14" t="inlineStr">
        <is>
          <t>Бан</t>
        </is>
      </c>
      <c r="F35" s="36" t="inlineStr">
        <is>
          <t>БАН</t>
        </is>
      </c>
      <c r="G35" s="34" t="n">
        <v>0</v>
      </c>
      <c r="H35" s="34" t="n">
        <v>0</v>
      </c>
      <c r="I35" s="15" t="n">
        <v>0</v>
      </c>
      <c r="J35" s="15" t="n">
        <v>0</v>
      </c>
      <c r="K35" s="15" t="n">
        <v>0</v>
      </c>
      <c r="L35" s="34" t="inlineStr">
        <is>
          <t>04.09.2026</t>
        </is>
      </c>
      <c r="M35" s="15" t="n">
        <v>0</v>
      </c>
      <c r="N35" s="23" t="n">
        <v>0</v>
      </c>
      <c r="O35" s="15" t="n">
        <v>0</v>
      </c>
      <c r="P35" s="14" t="inlineStr"/>
      <c r="Q35" s="15" t="n">
        <v>0</v>
      </c>
      <c r="R35" s="14" t="inlineStr">
        <is>
          <t>Email: lexivargo6@gmail.com | Pass: L))))))1</t>
        </is>
      </c>
    </row>
    <row r="36">
      <c r="A36" s="34" t="n">
        <v>34</v>
      </c>
      <c r="B36" s="14" t="inlineStr">
        <is>
          <t>Melissa Kara (Турция)</t>
        </is>
      </c>
      <c r="C36" s="14" t="inlineStr">
        <is>
          <t>Саша</t>
        </is>
      </c>
      <c r="D36" s="34" t="inlineStr">
        <is>
          <t>Facebook</t>
        </is>
      </c>
      <c r="E36" s="14" t="inlineStr">
        <is>
          <t>Бан</t>
        </is>
      </c>
      <c r="F36" s="36" t="inlineStr">
        <is>
          <t>БАН</t>
        </is>
      </c>
      <c r="G36" s="34" t="n">
        <v>0</v>
      </c>
      <c r="H36" s="34" t="n">
        <v>0</v>
      </c>
      <c r="I36" s="15" t="n">
        <v>0</v>
      </c>
      <c r="J36" s="15" t="n">
        <v>0</v>
      </c>
      <c r="K36" s="15" t="n">
        <v>0</v>
      </c>
      <c r="L36" s="34" t="inlineStr">
        <is>
          <t>04.09.2026</t>
        </is>
      </c>
      <c r="M36" s="15" t="n">
        <v>0</v>
      </c>
      <c r="N36" s="23" t="n">
        <v>0</v>
      </c>
      <c r="O36" s="15" t="n">
        <v>0</v>
      </c>
      <c r="P36" s="14" t="inlineStr"/>
      <c r="Q36" s="15" t="n">
        <v>0</v>
      </c>
      <c r="R36" s="14" t="inlineStr">
        <is>
          <t>Email: lexivargo6@gmail.com | Pass: L))))))1</t>
        </is>
      </c>
    </row>
    <row r="37">
      <c r="A37" s="34" t="n">
        <v>35</v>
      </c>
      <c r="B37" s="14" t="inlineStr">
        <is>
          <t>Melissa Kara (Турция)</t>
        </is>
      </c>
      <c r="C37" s="14" t="inlineStr">
        <is>
          <t>Саша</t>
        </is>
      </c>
      <c r="D37" s="34" t="inlineStr">
        <is>
          <t>Threads</t>
        </is>
      </c>
      <c r="E37" s="14" t="inlineStr">
        <is>
          <t>Бан</t>
        </is>
      </c>
      <c r="F37" s="36" t="inlineStr">
        <is>
          <t>БАН</t>
        </is>
      </c>
      <c r="G37" s="34" t="n">
        <v>0</v>
      </c>
      <c r="H37" s="34" t="n">
        <v>0</v>
      </c>
      <c r="I37" s="15" t="n">
        <v>0</v>
      </c>
      <c r="J37" s="15" t="n">
        <v>0</v>
      </c>
      <c r="K37" s="15" t="n">
        <v>0</v>
      </c>
      <c r="L37" s="34" t="inlineStr">
        <is>
          <t>04.09.2026</t>
        </is>
      </c>
      <c r="M37" s="15" t="n">
        <v>0</v>
      </c>
      <c r="N37" s="23" t="n">
        <v>0</v>
      </c>
      <c r="O37" s="15" t="n">
        <v>0</v>
      </c>
      <c r="P37" s="14" t="inlineStr"/>
      <c r="Q37" s="15" t="n">
        <v>0</v>
      </c>
      <c r="R37" s="14" t="inlineStr">
        <is>
          <t>Email: lexivargo6@gmail.com | Pass: L))))))1</t>
        </is>
      </c>
    </row>
    <row r="38">
      <c r="A38" s="34" t="n">
        <v>36</v>
      </c>
      <c r="B38" s="14" t="inlineStr">
        <is>
          <t>Melissa Kara (Турция)</t>
        </is>
      </c>
      <c r="C38" s="14" t="inlineStr">
        <is>
          <t>Саша</t>
        </is>
      </c>
      <c r="D38" s="34" t="inlineStr">
        <is>
          <t>X (Twitter)</t>
        </is>
      </c>
      <c r="E38" s="14" t="inlineStr"/>
      <c r="F38" s="35" t="inlineStr">
        <is>
          <t>Нет ссылки</t>
        </is>
      </c>
      <c r="G38" s="34" t="n">
        <v>0</v>
      </c>
      <c r="H38" s="34" t="n">
        <v>0</v>
      </c>
      <c r="I38" s="15" t="n">
        <v>0</v>
      </c>
      <c r="J38" s="15" t="n">
        <v>0</v>
      </c>
      <c r="K38" s="15" t="n">
        <v>0</v>
      </c>
      <c r="L38" s="34" t="inlineStr">
        <is>
          <t>04.09.2026</t>
        </is>
      </c>
      <c r="M38" s="15" t="n">
        <v>0</v>
      </c>
      <c r="N38" s="23" t="n">
        <v>0</v>
      </c>
      <c r="O38" s="15" t="n">
        <v>0</v>
      </c>
      <c r="P38" s="14" t="inlineStr"/>
      <c r="Q38" s="15" t="n">
        <v>0</v>
      </c>
      <c r="R38" s="14" t="inlineStr">
        <is>
          <t>Email: lexivargo6@gmail.com | Pass: L))))))1</t>
        </is>
      </c>
    </row>
    <row r="39">
      <c r="A39" s="32" t="n">
        <v>37</v>
      </c>
      <c r="B39" s="10" t="inlineStr">
        <is>
          <t>Асель Исакова (Кыргызстан)</t>
        </is>
      </c>
      <c r="C39" s="10" t="inlineStr">
        <is>
          <t>Сёма</t>
        </is>
      </c>
      <c r="D39" s="32" t="inlineStr">
        <is>
          <t>TikTok</t>
        </is>
      </c>
      <c r="E39" s="10" t="inlineStr">
        <is>
          <t>https://www.tiktok.com/@asel.isakova.077</t>
        </is>
      </c>
      <c r="F39" s="33" t="inlineStr">
        <is>
          <t>Активен</t>
        </is>
      </c>
      <c r="G39" s="32" t="n">
        <v>9</v>
      </c>
      <c r="H39" s="32" t="n">
        <v>0</v>
      </c>
      <c r="I39" s="11" t="n">
        <v>32791</v>
      </c>
      <c r="J39" s="11" t="n">
        <v>56</v>
      </c>
      <c r="K39" s="11" t="n">
        <v>0</v>
      </c>
      <c r="L39" s="32" t="inlineStr">
        <is>
          <t>04.09.2026</t>
        </is>
      </c>
      <c r="M39" s="11" t="n">
        <v>96</v>
      </c>
      <c r="N39" s="22" t="n">
        <v>0</v>
      </c>
      <c r="O39" s="11" t="n">
        <v>2004</v>
      </c>
      <c r="P39" s="10" t="inlineStr">
        <is>
          <t>https://www.tiktok.com/@asel.isakova.077/video/7680600263341706514</t>
        </is>
      </c>
      <c r="Q39" s="11" t="n">
        <v>21100</v>
      </c>
      <c r="R39" s="10" t="inlineStr"/>
    </row>
    <row r="40">
      <c r="A40" s="32" t="n">
        <v>38</v>
      </c>
      <c r="B40" s="10" t="inlineStr">
        <is>
          <t>Асель Исакова (Кыргызстан)</t>
        </is>
      </c>
      <c r="C40" s="10" t="inlineStr">
        <is>
          <t>Сёма</t>
        </is>
      </c>
      <c r="D40" s="32" t="inlineStr">
        <is>
          <t>YouTube</t>
        </is>
      </c>
      <c r="E40" s="10" t="inlineStr">
        <is>
          <t>https://www.youtube.com/@%D0%90%D1%81%D0%B5%D0%BB%D1%8C%D0%98%D1%81%D0%B0%D0%BA%D0%BE%D0%B2%D0%B0-%D1%824%D1%86</t>
        </is>
      </c>
      <c r="F40" s="33" t="inlineStr">
        <is>
          <t>Активен</t>
        </is>
      </c>
      <c r="G40" s="32" t="n">
        <v>8</v>
      </c>
      <c r="H40" s="32" t="n">
        <v>0</v>
      </c>
      <c r="I40" s="11" t="n">
        <v>730629</v>
      </c>
      <c r="J40" s="11" t="n">
        <v>9</v>
      </c>
      <c r="K40" s="11" t="n">
        <v>0</v>
      </c>
      <c r="L40" s="32" t="inlineStr">
        <is>
          <t>04.09.2026</t>
        </is>
      </c>
      <c r="M40" s="11" t="n">
        <v>801</v>
      </c>
      <c r="N40" s="22" t="n">
        <v>0</v>
      </c>
      <c r="O40" s="11" t="n">
        <v>0</v>
      </c>
      <c r="P40" s="10" t="inlineStr"/>
      <c r="Q40" s="11" t="n">
        <v>440000</v>
      </c>
      <c r="R40" s="10" t="inlineStr"/>
    </row>
    <row r="41">
      <c r="A41" s="32" t="n">
        <v>39</v>
      </c>
      <c r="B41" s="10" t="inlineStr">
        <is>
          <t>Асель Исакова (Кыргызстан)</t>
        </is>
      </c>
      <c r="C41" s="10" t="inlineStr">
        <is>
          <t>Сёма</t>
        </is>
      </c>
      <c r="D41" s="32" t="inlineStr">
        <is>
          <t>Instagram</t>
        </is>
      </c>
      <c r="E41" s="10" t="inlineStr">
        <is>
          <t>https://www.instagram.com/aseli_sakova?igsi=MTFvN2w4cHl2enQ2bg==</t>
        </is>
      </c>
      <c r="F41" s="33" t="inlineStr">
        <is>
          <t>Активен</t>
        </is>
      </c>
      <c r="G41" s="32" t="n">
        <v>7</v>
      </c>
      <c r="H41" s="32" t="n">
        <v>0</v>
      </c>
      <c r="I41" s="11" t="n">
        <v>0</v>
      </c>
      <c r="J41" s="11" t="n">
        <v>0</v>
      </c>
      <c r="K41" s="11" t="n">
        <v>0</v>
      </c>
      <c r="L41" s="32" t="inlineStr">
        <is>
          <t>04.09.2026</t>
        </is>
      </c>
      <c r="M41" s="11" t="n">
        <v>4</v>
      </c>
      <c r="N41" s="22" t="n">
        <v>0</v>
      </c>
      <c r="O41" s="11" t="n">
        <v>0</v>
      </c>
      <c r="P41" s="10" t="inlineStr"/>
      <c r="Q41" s="11" t="n">
        <v>0</v>
      </c>
      <c r="R41" s="10" t="inlineStr"/>
    </row>
    <row r="42">
      <c r="A42" s="32" t="n">
        <v>40</v>
      </c>
      <c r="B42" s="10" t="inlineStr">
        <is>
          <t>Асель Исакова (Кыргызстан)</t>
        </is>
      </c>
      <c r="C42" s="10" t="inlineStr">
        <is>
          <t>Сёма</t>
        </is>
      </c>
      <c r="D42" s="32" t="inlineStr">
        <is>
          <t>Facebook</t>
        </is>
      </c>
      <c r="E42" s="10" t="inlineStr">
        <is>
          <t>https://www.facebook.com/share/19YrNEtvbj/</t>
        </is>
      </c>
      <c r="F42" s="33" t="inlineStr">
        <is>
          <t>Активен</t>
        </is>
      </c>
      <c r="G42" s="32" t="n">
        <v>6</v>
      </c>
      <c r="H42" s="32" t="n">
        <v>0</v>
      </c>
      <c r="I42" s="11" t="n">
        <v>3459</v>
      </c>
      <c r="J42" s="11" t="n">
        <v>214</v>
      </c>
      <c r="K42" s="11" t="n">
        <v>0</v>
      </c>
      <c r="L42" s="32" t="inlineStr">
        <is>
          <t>04.09.2026</t>
        </is>
      </c>
      <c r="M42" s="11" t="n">
        <v>0</v>
      </c>
      <c r="N42" s="22" t="n">
        <v>0</v>
      </c>
      <c r="O42" s="11" t="n">
        <v>0</v>
      </c>
      <c r="P42" s="10" t="inlineStr"/>
      <c r="Q42" s="11" t="n">
        <v>1400</v>
      </c>
      <c r="R42" s="10" t="inlineStr"/>
    </row>
    <row r="43">
      <c r="A43" s="32" t="n">
        <v>41</v>
      </c>
      <c r="B43" s="10" t="inlineStr">
        <is>
          <t>Асель Исакова (Кыргызстан)</t>
        </is>
      </c>
      <c r="C43" s="10" t="inlineStr">
        <is>
          <t>Сёма</t>
        </is>
      </c>
      <c r="D43" s="32" t="inlineStr">
        <is>
          <t>Threads</t>
        </is>
      </c>
      <c r="E43" s="10" t="inlineStr">
        <is>
          <t>https://www.threads.net/@aseli_sakova</t>
        </is>
      </c>
      <c r="F43" s="33" t="inlineStr">
        <is>
          <t>Активен</t>
        </is>
      </c>
      <c r="G43" s="32" t="n">
        <v>4</v>
      </c>
      <c r="H43" s="32" t="n">
        <v>0</v>
      </c>
      <c r="I43" s="11" t="n">
        <v>0</v>
      </c>
      <c r="J43" s="11" t="n">
        <v>0</v>
      </c>
      <c r="K43" s="11" t="n">
        <v>0</v>
      </c>
      <c r="L43" s="32" t="inlineStr">
        <is>
          <t>04.09.2026</t>
        </is>
      </c>
      <c r="M43" s="11" t="n">
        <v>16</v>
      </c>
      <c r="N43" s="22" t="n">
        <v>0</v>
      </c>
      <c r="O43" s="11" t="n">
        <v>0</v>
      </c>
      <c r="P43" s="10" t="inlineStr"/>
      <c r="Q43" s="11" t="n">
        <v>0</v>
      </c>
      <c r="R43" s="10" t="inlineStr"/>
    </row>
    <row r="44">
      <c r="A44" s="32" t="n">
        <v>42</v>
      </c>
      <c r="B44" s="10" t="inlineStr">
        <is>
          <t>Асель Исакова (Кыргызстан)</t>
        </is>
      </c>
      <c r="C44" s="10" t="inlineStr">
        <is>
          <t>Сёма</t>
        </is>
      </c>
      <c r="D44" s="32" t="inlineStr">
        <is>
          <t>X (Twitter)</t>
        </is>
      </c>
      <c r="E44" s="10" t="inlineStr">
        <is>
          <t>https://x.com/mxhp8u</t>
        </is>
      </c>
      <c r="F44" s="33" t="inlineStr">
        <is>
          <t>Активен</t>
        </is>
      </c>
      <c r="G44" s="32" t="n">
        <v>4</v>
      </c>
      <c r="H44" s="32" t="n">
        <v>0</v>
      </c>
      <c r="I44" s="11" t="n">
        <v>0</v>
      </c>
      <c r="J44" s="11" t="n">
        <v>0</v>
      </c>
      <c r="K44" s="11" t="n">
        <v>0</v>
      </c>
      <c r="L44" s="32" t="inlineStr">
        <is>
          <t>04.09.2026</t>
        </is>
      </c>
      <c r="M44" s="11" t="n">
        <v>0</v>
      </c>
      <c r="N44" s="22" t="n">
        <v>0</v>
      </c>
      <c r="O44" s="11" t="n">
        <v>0</v>
      </c>
      <c r="P44" s="10" t="inlineStr"/>
      <c r="Q44" s="11" t="n">
        <v>0</v>
      </c>
      <c r="R44" s="10" t="inlineStr"/>
    </row>
    <row r="45">
      <c r="A45" s="34" t="n">
        <v>43</v>
      </c>
      <c r="B45" s="14" t="inlineStr">
        <is>
          <t>Тилек Асанов (Кыргызстан)</t>
        </is>
      </c>
      <c r="C45" s="14" t="inlineStr">
        <is>
          <t>Сёма</t>
        </is>
      </c>
      <c r="D45" s="34" t="inlineStr">
        <is>
          <t>TikTok</t>
        </is>
      </c>
      <c r="E45" s="14" t="inlineStr">
        <is>
          <t>https://www.tiktok.com/@tilek.asanov.77</t>
        </is>
      </c>
      <c r="F45" s="33" t="inlineStr">
        <is>
          <t>Активен</t>
        </is>
      </c>
      <c r="G45" s="34" t="n">
        <v>7</v>
      </c>
      <c r="H45" s="34" t="n">
        <v>0</v>
      </c>
      <c r="I45" s="15" t="n">
        <v>2564</v>
      </c>
      <c r="J45" s="15" t="n">
        <v>24</v>
      </c>
      <c r="K45" s="15" t="n">
        <v>0</v>
      </c>
      <c r="L45" s="34" t="inlineStr">
        <is>
          <t>04.09.2026</t>
        </is>
      </c>
      <c r="M45" s="15" t="n">
        <v>2</v>
      </c>
      <c r="N45" s="23" t="n">
        <v>0</v>
      </c>
      <c r="O45" s="15" t="n">
        <v>90</v>
      </c>
      <c r="P45" s="14" t="inlineStr">
        <is>
          <t>https://www.tiktok.com/@tilek.asanov.77/video/7681247935379590420</t>
        </is>
      </c>
      <c r="Q45" s="15" t="n">
        <v>644</v>
      </c>
      <c r="R45" s="14" t="inlineStr"/>
    </row>
    <row r="46">
      <c r="A46" s="34" t="n">
        <v>44</v>
      </c>
      <c r="B46" s="14" t="inlineStr">
        <is>
          <t>Тилек Асанов (Кыргызстан)</t>
        </is>
      </c>
      <c r="C46" s="14" t="inlineStr">
        <is>
          <t>Сёма</t>
        </is>
      </c>
      <c r="D46" s="34" t="inlineStr">
        <is>
          <t>YouTube</t>
        </is>
      </c>
      <c r="E46" s="14" t="inlineStr">
        <is>
          <t>https://www.youtube.com/@tilek.asanov</t>
        </is>
      </c>
      <c r="F46" s="33" t="inlineStr">
        <is>
          <t>Активен</t>
        </is>
      </c>
      <c r="G46" s="34" t="n">
        <v>7</v>
      </c>
      <c r="H46" s="34" t="n">
        <v>0</v>
      </c>
      <c r="I46" s="15" t="n">
        <v>8747</v>
      </c>
      <c r="J46" s="15" t="n">
        <v>271</v>
      </c>
      <c r="K46" s="15" t="n">
        <v>0</v>
      </c>
      <c r="L46" s="34" t="inlineStr">
        <is>
          <t>04.09.2026</t>
        </is>
      </c>
      <c r="M46" s="15" t="n">
        <v>11</v>
      </c>
      <c r="N46" s="23" t="n">
        <v>0</v>
      </c>
      <c r="O46" s="15" t="n">
        <v>0</v>
      </c>
      <c r="P46" s="14" t="inlineStr"/>
      <c r="Q46" s="15" t="n">
        <v>3200</v>
      </c>
      <c r="R46" s="14" t="inlineStr"/>
    </row>
    <row r="47">
      <c r="A47" s="34" t="n">
        <v>45</v>
      </c>
      <c r="B47" s="14" t="inlineStr">
        <is>
          <t>Тилек Асанов (Кыргызстан)</t>
        </is>
      </c>
      <c r="C47" s="14" t="inlineStr">
        <is>
          <t>Сёма</t>
        </is>
      </c>
      <c r="D47" s="34" t="inlineStr">
        <is>
          <t>Instagram</t>
        </is>
      </c>
      <c r="E47" s="14" t="inlineStr">
        <is>
          <t>https://www.instagram.com/tile.kasanov?igsi=MThrajZrcWI3OW5qaA==</t>
        </is>
      </c>
      <c r="F47" s="33" t="inlineStr">
        <is>
          <t>Активен</t>
        </is>
      </c>
      <c r="G47" s="34" t="n">
        <v>7</v>
      </c>
      <c r="H47" s="34" t="n">
        <v>0</v>
      </c>
      <c r="I47" s="15" t="n">
        <v>0</v>
      </c>
      <c r="J47" s="15" t="n">
        <v>0</v>
      </c>
      <c r="K47" s="15" t="n">
        <v>0</v>
      </c>
      <c r="L47" s="34" t="inlineStr">
        <is>
          <t>04.09.2026</t>
        </is>
      </c>
      <c r="M47" s="15" t="n">
        <v>1</v>
      </c>
      <c r="N47" s="23" t="n">
        <v>0</v>
      </c>
      <c r="O47" s="15" t="n">
        <v>0</v>
      </c>
      <c r="P47" s="14" t="inlineStr"/>
      <c r="Q47" s="15" t="n">
        <v>0</v>
      </c>
      <c r="R47" s="14" t="inlineStr"/>
    </row>
    <row r="48">
      <c r="A48" s="34" t="n">
        <v>46</v>
      </c>
      <c r="B48" s="14" t="inlineStr">
        <is>
          <t>Тилек Асанов (Кыргызстан)</t>
        </is>
      </c>
      <c r="C48" s="14" t="inlineStr">
        <is>
          <t>Сёма</t>
        </is>
      </c>
      <c r="D48" s="34" t="inlineStr">
        <is>
          <t>Facebook</t>
        </is>
      </c>
      <c r="E48" s="14" t="inlineStr">
        <is>
          <t>https://www.facebook.com/share/1GmysHvXZ5/</t>
        </is>
      </c>
      <c r="F48" s="33" t="inlineStr">
        <is>
          <t>Активен</t>
        </is>
      </c>
      <c r="G48" s="34" t="n">
        <v>7</v>
      </c>
      <c r="H48" s="34" t="n">
        <v>0</v>
      </c>
      <c r="I48" s="15" t="n">
        <v>1662</v>
      </c>
      <c r="J48" s="15" t="n">
        <v>84</v>
      </c>
      <c r="K48" s="15" t="n">
        <v>0</v>
      </c>
      <c r="L48" s="34" t="inlineStr">
        <is>
          <t>04.09.2026</t>
        </is>
      </c>
      <c r="M48" s="15" t="n">
        <v>0</v>
      </c>
      <c r="N48" s="23" t="n">
        <v>0</v>
      </c>
      <c r="O48" s="15" t="n">
        <v>0</v>
      </c>
      <c r="P48" s="14" t="inlineStr"/>
      <c r="Q48" s="15" t="n">
        <v>343</v>
      </c>
      <c r="R48" s="14" t="inlineStr"/>
    </row>
    <row r="49">
      <c r="A49" s="34" t="n">
        <v>47</v>
      </c>
      <c r="B49" s="14" t="inlineStr">
        <is>
          <t>Тилек Асанов (Кыргызстан)</t>
        </is>
      </c>
      <c r="C49" s="14" t="inlineStr">
        <is>
          <t>Сёма</t>
        </is>
      </c>
      <c r="D49" s="34" t="inlineStr">
        <is>
          <t>Threads</t>
        </is>
      </c>
      <c r="E49" s="14" t="inlineStr">
        <is>
          <t>https://www.threads.net/@tile.kasanov</t>
        </is>
      </c>
      <c r="F49" s="33" t="inlineStr">
        <is>
          <t>Активен</t>
        </is>
      </c>
      <c r="G49" s="34" t="n">
        <v>4</v>
      </c>
      <c r="H49" s="34" t="n">
        <v>0</v>
      </c>
      <c r="I49" s="15" t="n">
        <v>0</v>
      </c>
      <c r="J49" s="15" t="n">
        <v>0</v>
      </c>
      <c r="K49" s="15" t="n">
        <v>0</v>
      </c>
      <c r="L49" s="34" t="inlineStr">
        <is>
          <t>04.09.2026</t>
        </is>
      </c>
      <c r="M49" s="15" t="n">
        <v>0</v>
      </c>
      <c r="N49" s="23" t="n">
        <v>0</v>
      </c>
      <c r="O49" s="15" t="n">
        <v>0</v>
      </c>
      <c r="P49" s="14" t="inlineStr"/>
      <c r="Q49" s="15" t="n">
        <v>0</v>
      </c>
      <c r="R49" s="14" t="inlineStr"/>
    </row>
    <row r="50">
      <c r="A50" s="34" t="n">
        <v>48</v>
      </c>
      <c r="B50" s="14" t="inlineStr">
        <is>
          <t>Тилек Асанов (Кыргызстан)</t>
        </is>
      </c>
      <c r="C50" s="14" t="inlineStr">
        <is>
          <t>Сёма</t>
        </is>
      </c>
      <c r="D50" s="34" t="inlineStr">
        <is>
          <t>X (Twitter)</t>
        </is>
      </c>
      <c r="E50" s="14" t="inlineStr">
        <is>
          <t>https://x.com/7jfe13</t>
        </is>
      </c>
      <c r="F50" s="33" t="inlineStr">
        <is>
          <t>Активен</t>
        </is>
      </c>
      <c r="G50" s="34" t="n">
        <v>3</v>
      </c>
      <c r="H50" s="34" t="n">
        <v>0</v>
      </c>
      <c r="I50" s="15" t="n">
        <v>0</v>
      </c>
      <c r="J50" s="15" t="n">
        <v>0</v>
      </c>
      <c r="K50" s="15" t="n">
        <v>0</v>
      </c>
      <c r="L50" s="34" t="inlineStr">
        <is>
          <t>04.09.2026</t>
        </is>
      </c>
      <c r="M50" s="15" t="n">
        <v>0</v>
      </c>
      <c r="N50" s="23" t="n">
        <v>0</v>
      </c>
      <c r="O50" s="15" t="n">
        <v>0</v>
      </c>
      <c r="P50" s="14" t="inlineStr"/>
      <c r="Q50" s="15" t="n">
        <v>0</v>
      </c>
      <c r="R50" s="14" t="inlineStr"/>
    </row>
    <row r="51">
      <c r="A51" s="32" t="n">
        <v>49</v>
      </c>
      <c r="B51" s="10" t="inlineStr">
        <is>
          <t>Lori Bennet (Америка)</t>
        </is>
      </c>
      <c r="C51" s="10" t="inlineStr">
        <is>
          <t>Даник</t>
        </is>
      </c>
      <c r="D51" s="32" t="inlineStr">
        <is>
          <t>TikTok</t>
        </is>
      </c>
      <c r="E51" s="10" t="inlineStr">
        <is>
          <t>https://www.tiktok.com/@lori.bennett08</t>
        </is>
      </c>
      <c r="F51" s="33" t="inlineStr">
        <is>
          <t>Активен</t>
        </is>
      </c>
      <c r="G51" s="32" t="n">
        <v>6</v>
      </c>
      <c r="H51" s="32" t="n">
        <v>0</v>
      </c>
      <c r="I51" s="11" t="n">
        <v>1310</v>
      </c>
      <c r="J51" s="11" t="n">
        <v>320</v>
      </c>
      <c r="K51" s="11" t="n">
        <v>0</v>
      </c>
      <c r="L51" s="32" t="inlineStr">
        <is>
          <t>04.09.2026</t>
        </is>
      </c>
      <c r="M51" s="11" t="n">
        <v>3</v>
      </c>
      <c r="N51" s="22" t="n">
        <v>0</v>
      </c>
      <c r="O51" s="11" t="n">
        <v>83</v>
      </c>
      <c r="P51" s="10" t="inlineStr">
        <is>
          <t>https://www.tiktok.com/@lori.bennett08/video/7680217051616562463</t>
        </is>
      </c>
      <c r="Q51" s="11" t="n">
        <v>361</v>
      </c>
      <c r="R51" s="10" t="inlineStr"/>
    </row>
    <row r="52">
      <c r="A52" s="32" t="n">
        <v>50</v>
      </c>
      <c r="B52" s="10" t="inlineStr">
        <is>
          <t>Lori Bennet (Америка)</t>
        </is>
      </c>
      <c r="C52" s="10" t="inlineStr">
        <is>
          <t>Даник</t>
        </is>
      </c>
      <c r="D52" s="32" t="inlineStr">
        <is>
          <t>YouTube</t>
        </is>
      </c>
      <c r="E52" s="10" t="inlineStr">
        <is>
          <t>https://www.youtube.com/@LoriBennett-r5m</t>
        </is>
      </c>
      <c r="F52" s="33" t="inlineStr">
        <is>
          <t>Активен</t>
        </is>
      </c>
      <c r="G52" s="32" t="n">
        <v>5</v>
      </c>
      <c r="H52" s="32" t="n">
        <v>0</v>
      </c>
      <c r="I52" s="11" t="n">
        <v>2720</v>
      </c>
      <c r="J52" s="11" t="n">
        <v>15</v>
      </c>
      <c r="K52" s="11" t="n">
        <v>0</v>
      </c>
      <c r="L52" s="32" t="inlineStr">
        <is>
          <t>04.09.2026</t>
        </is>
      </c>
      <c r="M52" s="11" t="n">
        <v>6</v>
      </c>
      <c r="N52" s="22" t="n">
        <v>0</v>
      </c>
      <c r="O52" s="11" t="n">
        <v>0</v>
      </c>
      <c r="P52" s="10" t="inlineStr"/>
      <c r="Q52" s="11" t="n">
        <v>1400</v>
      </c>
      <c r="R52" s="10" t="inlineStr"/>
    </row>
    <row r="53">
      <c r="A53" s="32" t="n">
        <v>51</v>
      </c>
      <c r="B53" s="10" t="inlineStr">
        <is>
          <t>Lori Bennet (Америка)</t>
        </is>
      </c>
      <c r="C53" s="10" t="inlineStr">
        <is>
          <t>Даник</t>
        </is>
      </c>
      <c r="D53" s="32" t="inlineStr">
        <is>
          <t>Instagram</t>
        </is>
      </c>
      <c r="E53" s="10" t="inlineStr">
        <is>
          <t>https://www.instagram.com/Lori_bennett14</t>
        </is>
      </c>
      <c r="F53" s="33" t="inlineStr">
        <is>
          <t>Активен</t>
        </is>
      </c>
      <c r="G53" s="32" t="n">
        <v>3</v>
      </c>
      <c r="H53" s="32" t="n">
        <v>0</v>
      </c>
      <c r="I53" s="11" t="n">
        <v>412</v>
      </c>
      <c r="J53" s="11" t="n">
        <v>0</v>
      </c>
      <c r="K53" s="11" t="n">
        <v>0</v>
      </c>
      <c r="L53" s="32" t="inlineStr">
        <is>
          <t>04.09.2026</t>
        </is>
      </c>
      <c r="M53" s="11" t="n">
        <v>1</v>
      </c>
      <c r="N53" s="22" t="n">
        <v>0</v>
      </c>
      <c r="O53" s="11" t="n">
        <v>0</v>
      </c>
      <c r="P53" s="10" t="inlineStr"/>
      <c r="Q53" s="11" t="n">
        <v>404</v>
      </c>
      <c r="R53" s="10" t="inlineStr"/>
    </row>
    <row r="54">
      <c r="A54" s="32" t="n">
        <v>52</v>
      </c>
      <c r="B54" s="10" t="inlineStr">
        <is>
          <t>Lori Bennet (Америка)</t>
        </is>
      </c>
      <c r="C54" s="10" t="inlineStr">
        <is>
          <t>Даник</t>
        </is>
      </c>
      <c r="D54" s="32" t="inlineStr">
        <is>
          <t>Facebook</t>
        </is>
      </c>
      <c r="E54" s="10" t="inlineStr">
        <is>
          <t>https://www.facebook.com/people/Lori-Bennett/</t>
        </is>
      </c>
      <c r="F54" s="33" t="inlineStr">
        <is>
          <t>Активен</t>
        </is>
      </c>
      <c r="G54" s="32" t="n">
        <v>0</v>
      </c>
      <c r="H54" s="32" t="n">
        <v>0</v>
      </c>
      <c r="I54" s="11" t="n">
        <v>0</v>
      </c>
      <c r="J54" s="11" t="n">
        <v>0</v>
      </c>
      <c r="K54" s="11" t="n">
        <v>0</v>
      </c>
      <c r="L54" s="32" t="inlineStr">
        <is>
          <t>04.09.2026</t>
        </is>
      </c>
      <c r="M54" s="11" t="n">
        <v>0</v>
      </c>
      <c r="N54" s="22" t="n">
        <v>0</v>
      </c>
      <c r="O54" s="11" t="n">
        <v>0</v>
      </c>
      <c r="P54" s="10" t="inlineStr"/>
      <c r="Q54" s="11" t="n">
        <v>0</v>
      </c>
      <c r="R54" s="10" t="inlineStr"/>
    </row>
    <row r="55">
      <c r="A55" s="32" t="n">
        <v>53</v>
      </c>
      <c r="B55" s="10" t="inlineStr">
        <is>
          <t>Lori Bennet (Америка)</t>
        </is>
      </c>
      <c r="C55" s="10" t="inlineStr">
        <is>
          <t>Даник</t>
        </is>
      </c>
      <c r="D55" s="32" t="inlineStr">
        <is>
          <t>Threads</t>
        </is>
      </c>
      <c r="E55" s="10" t="inlineStr">
        <is>
          <t>https://www.threads.net/@lori_bennett14</t>
        </is>
      </c>
      <c r="F55" s="33" t="inlineStr">
        <is>
          <t>Активен</t>
        </is>
      </c>
      <c r="G55" s="32" t="n">
        <v>3</v>
      </c>
      <c r="H55" s="32" t="n">
        <v>0</v>
      </c>
      <c r="I55" s="11" t="n">
        <v>0</v>
      </c>
      <c r="J55" s="11" t="n">
        <v>0</v>
      </c>
      <c r="K55" s="11" t="n">
        <v>0</v>
      </c>
      <c r="L55" s="32" t="inlineStr">
        <is>
          <t>04.09.2026</t>
        </is>
      </c>
      <c r="M55" s="11" t="n">
        <v>14</v>
      </c>
      <c r="N55" s="22" t="n">
        <v>0</v>
      </c>
      <c r="O55" s="11" t="n">
        <v>0</v>
      </c>
      <c r="P55" s="10" t="inlineStr"/>
      <c r="Q55" s="11" t="n">
        <v>0</v>
      </c>
      <c r="R55" s="10" t="inlineStr"/>
    </row>
    <row r="56">
      <c r="A56" s="32" t="n">
        <v>54</v>
      </c>
      <c r="B56" s="10" t="inlineStr">
        <is>
          <t>Lori Bennet (Америка)</t>
        </is>
      </c>
      <c r="C56" s="10" t="inlineStr">
        <is>
          <t>Даник</t>
        </is>
      </c>
      <c r="D56" s="32" t="inlineStr">
        <is>
          <t>X (Twitter)</t>
        </is>
      </c>
      <c r="E56" s="10" t="inlineStr">
        <is>
          <t>https://x.com/LoriBennet7jcr</t>
        </is>
      </c>
      <c r="F56" s="33" t="inlineStr">
        <is>
          <t>Активен</t>
        </is>
      </c>
      <c r="G56" s="32" t="n">
        <v>0</v>
      </c>
      <c r="H56" s="32" t="n">
        <v>0</v>
      </c>
      <c r="I56" s="11" t="n">
        <v>0</v>
      </c>
      <c r="J56" s="11" t="n">
        <v>0</v>
      </c>
      <c r="K56" s="11" t="n">
        <v>0</v>
      </c>
      <c r="L56" s="32" t="inlineStr">
        <is>
          <t>04.09.2026</t>
        </is>
      </c>
      <c r="M56" s="11" t="n">
        <v>1</v>
      </c>
      <c r="N56" s="22" t="n">
        <v>0</v>
      </c>
      <c r="O56" s="11" t="n">
        <v>0</v>
      </c>
      <c r="P56" s="10" t="inlineStr"/>
      <c r="Q56" s="11" t="n">
        <v>0</v>
      </c>
      <c r="R56" s="10" t="inlineStr"/>
    </row>
    <row r="57">
      <c r="A57" s="34" t="n">
        <v>55</v>
      </c>
      <c r="B57" s="14" t="inlineStr">
        <is>
          <t>Vida (Америка)</t>
        </is>
      </c>
      <c r="C57" s="14" t="inlineStr">
        <is>
          <t>Артур</t>
        </is>
      </c>
      <c r="D57" s="34" t="inlineStr">
        <is>
          <t>TikTok</t>
        </is>
      </c>
      <c r="E57" s="14" t="inlineStr">
        <is>
          <t>https://www.tiktok.com/@vida_morales?_r=1&amp;_t=ZS-99RwjrUI14c</t>
        </is>
      </c>
      <c r="F57" s="33" t="inlineStr">
        <is>
          <t>Активен</t>
        </is>
      </c>
      <c r="G57" s="34" t="n">
        <v>56</v>
      </c>
      <c r="H57" s="34" t="n">
        <v>0</v>
      </c>
      <c r="I57" s="15" t="n">
        <v>645952</v>
      </c>
      <c r="J57" s="15" t="n">
        <v>327</v>
      </c>
      <c r="K57" s="15" t="n">
        <v>0</v>
      </c>
      <c r="L57" s="34" t="inlineStr">
        <is>
          <t>04.09.2026</t>
        </is>
      </c>
      <c r="M57" s="15" t="n">
        <v>2936</v>
      </c>
      <c r="N57" s="23" t="n">
        <v>0</v>
      </c>
      <c r="O57" s="15" t="n">
        <v>31200</v>
      </c>
      <c r="P57" s="14" t="inlineStr">
        <is>
          <t>https://www.tiktok.com/@vida_morales/video/7675866929277685000</t>
        </is>
      </c>
      <c r="Q57" s="15" t="n">
        <v>245300</v>
      </c>
      <c r="R57" s="14" t="inlineStr"/>
    </row>
    <row r="58">
      <c r="A58" s="34" t="n">
        <v>56</v>
      </c>
      <c r="B58" s="14" t="inlineStr">
        <is>
          <t>Vida (Америка)</t>
        </is>
      </c>
      <c r="C58" s="14" t="inlineStr">
        <is>
          <t>Артур</t>
        </is>
      </c>
      <c r="D58" s="34" t="inlineStr">
        <is>
          <t>YouTube</t>
        </is>
      </c>
      <c r="E58" s="14" t="inlineStr"/>
      <c r="F58" s="35" t="inlineStr">
        <is>
          <t>Нет ссылки</t>
        </is>
      </c>
      <c r="G58" s="34" t="n">
        <v>0</v>
      </c>
      <c r="H58" s="34" t="n">
        <v>0</v>
      </c>
      <c r="I58" s="15" t="n">
        <v>0</v>
      </c>
      <c r="J58" s="15" t="n">
        <v>0</v>
      </c>
      <c r="K58" s="15" t="n">
        <v>0</v>
      </c>
      <c r="L58" s="34" t="inlineStr">
        <is>
          <t>04.09.2026</t>
        </is>
      </c>
      <c r="M58" s="15" t="n">
        <v>0</v>
      </c>
      <c r="N58" s="23" t="n">
        <v>0</v>
      </c>
      <c r="O58" s="15" t="n">
        <v>0</v>
      </c>
      <c r="P58" s="14" t="inlineStr"/>
      <c r="Q58" s="15" t="n">
        <v>0</v>
      </c>
      <c r="R58" s="14" t="inlineStr"/>
    </row>
    <row r="59">
      <c r="A59" s="34" t="n">
        <v>57</v>
      </c>
      <c r="B59" s="14" t="inlineStr">
        <is>
          <t>Vida (Америка)</t>
        </is>
      </c>
      <c r="C59" s="14" t="inlineStr">
        <is>
          <t>Артур</t>
        </is>
      </c>
      <c r="D59" s="34" t="inlineStr">
        <is>
          <t>Instagram</t>
        </is>
      </c>
      <c r="E59" s="14" t="inlineStr"/>
      <c r="F59" s="35" t="inlineStr">
        <is>
          <t>Нет ссылки</t>
        </is>
      </c>
      <c r="G59" s="34" t="n">
        <v>0</v>
      </c>
      <c r="H59" s="34" t="n">
        <v>0</v>
      </c>
      <c r="I59" s="15" t="n">
        <v>0</v>
      </c>
      <c r="J59" s="15" t="n">
        <v>0</v>
      </c>
      <c r="K59" s="15" t="n">
        <v>0</v>
      </c>
      <c r="L59" s="34" t="inlineStr">
        <is>
          <t>04.09.2026</t>
        </is>
      </c>
      <c r="M59" s="15" t="n">
        <v>0</v>
      </c>
      <c r="N59" s="23" t="n">
        <v>0</v>
      </c>
      <c r="O59" s="15" t="n">
        <v>0</v>
      </c>
      <c r="P59" s="14" t="inlineStr"/>
      <c r="Q59" s="15" t="n">
        <v>0</v>
      </c>
      <c r="R59" s="14" t="inlineStr"/>
    </row>
    <row r="60">
      <c r="A60" s="34" t="n">
        <v>58</v>
      </c>
      <c r="B60" s="14" t="inlineStr">
        <is>
          <t>Vida (Америка)</t>
        </is>
      </c>
      <c r="C60" s="14" t="inlineStr">
        <is>
          <t>Артур</t>
        </is>
      </c>
      <c r="D60" s="34" t="inlineStr">
        <is>
          <t>Facebook</t>
        </is>
      </c>
      <c r="E60" s="14" t="inlineStr"/>
      <c r="F60" s="35" t="inlineStr">
        <is>
          <t>Нет ссылки</t>
        </is>
      </c>
      <c r="G60" s="34" t="n">
        <v>0</v>
      </c>
      <c r="H60" s="34" t="n">
        <v>0</v>
      </c>
      <c r="I60" s="15" t="n">
        <v>0</v>
      </c>
      <c r="J60" s="15" t="n">
        <v>0</v>
      </c>
      <c r="K60" s="15" t="n">
        <v>0</v>
      </c>
      <c r="L60" s="34" t="inlineStr">
        <is>
          <t>04.09.2026</t>
        </is>
      </c>
      <c r="M60" s="15" t="n">
        <v>0</v>
      </c>
      <c r="N60" s="23" t="n">
        <v>0</v>
      </c>
      <c r="O60" s="15" t="n">
        <v>0</v>
      </c>
      <c r="P60" s="14" t="inlineStr"/>
      <c r="Q60" s="15" t="n">
        <v>0</v>
      </c>
      <c r="R60" s="14" t="inlineStr"/>
    </row>
    <row r="61">
      <c r="A61" s="34" t="n">
        <v>59</v>
      </c>
      <c r="B61" s="14" t="inlineStr">
        <is>
          <t>Vida (Америка)</t>
        </is>
      </c>
      <c r="C61" s="14" t="inlineStr">
        <is>
          <t>Артур</t>
        </is>
      </c>
      <c r="D61" s="34" t="inlineStr">
        <is>
          <t>Threads</t>
        </is>
      </c>
      <c r="E61" s="14" t="inlineStr"/>
      <c r="F61" s="35" t="inlineStr">
        <is>
          <t>Нет ссылки</t>
        </is>
      </c>
      <c r="G61" s="34" t="n">
        <v>0</v>
      </c>
      <c r="H61" s="34" t="n">
        <v>0</v>
      </c>
      <c r="I61" s="15" t="n">
        <v>0</v>
      </c>
      <c r="J61" s="15" t="n">
        <v>0</v>
      </c>
      <c r="K61" s="15" t="n">
        <v>0</v>
      </c>
      <c r="L61" s="34" t="inlineStr">
        <is>
          <t>04.09.2026</t>
        </is>
      </c>
      <c r="M61" s="15" t="n">
        <v>0</v>
      </c>
      <c r="N61" s="23" t="n">
        <v>0</v>
      </c>
      <c r="O61" s="15" t="n">
        <v>0</v>
      </c>
      <c r="P61" s="14" t="inlineStr"/>
      <c r="Q61" s="15" t="n">
        <v>0</v>
      </c>
      <c r="R61" s="14" t="inlineStr"/>
    </row>
    <row r="62">
      <c r="A62" s="34" t="n">
        <v>60</v>
      </c>
      <c r="B62" s="14" t="inlineStr">
        <is>
          <t>Vida (Америка)</t>
        </is>
      </c>
      <c r="C62" s="14" t="inlineStr">
        <is>
          <t>Артур</t>
        </is>
      </c>
      <c r="D62" s="34" t="inlineStr">
        <is>
          <t>X (Twitter)</t>
        </is>
      </c>
      <c r="E62" s="14" t="inlineStr"/>
      <c r="F62" s="35" t="inlineStr">
        <is>
          <t>Нет ссылки</t>
        </is>
      </c>
      <c r="G62" s="34" t="n">
        <v>0</v>
      </c>
      <c r="H62" s="34" t="n">
        <v>0</v>
      </c>
      <c r="I62" s="15" t="n">
        <v>0</v>
      </c>
      <c r="J62" s="15" t="n">
        <v>0</v>
      </c>
      <c r="K62" s="15" t="n">
        <v>0</v>
      </c>
      <c r="L62" s="34" t="inlineStr">
        <is>
          <t>04.09.2026</t>
        </is>
      </c>
      <c r="M62" s="15" t="n">
        <v>0</v>
      </c>
      <c r="N62" s="23" t="n">
        <v>0</v>
      </c>
      <c r="O62" s="15" t="n">
        <v>0</v>
      </c>
      <c r="P62" s="14" t="inlineStr"/>
      <c r="Q62" s="15" t="n">
        <v>0</v>
      </c>
      <c r="R62" s="1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2"/>
  <sheetViews>
    <sheetView showGridLines="1" workbookViewId="0">
      <selection activeCell="A1" sqref="A1"/>
    </sheetView>
  </sheetViews>
  <sheetFormatPr baseColWidth="8" defaultRowHeight="15"/>
  <cols>
    <col width="71" customWidth="1" min="1" max="1"/>
    <col width="22" customWidth="1" min="2" max="2"/>
    <col width="16" customWidth="1" min="3" max="3"/>
    <col width="22" customWidth="1" min="4" max="4"/>
    <col width="25" customWidth="1" min="5" max="5"/>
    <col width="25" customWidth="1" min="6" max="6"/>
    <col width="21" customWidth="1" min="7" max="7"/>
    <col width="22" customWidth="1" min="8" max="8"/>
    <col width="17" customWidth="1" min="9" max="9"/>
    <col width="22" customWidth="1" min="10" max="10"/>
  </cols>
  <sheetData>
    <row r="1">
      <c r="A1" s="1" t="inlineStr">
        <is>
          <t>МОДУЛЬ СВЕРКИ И АНТИФРОДА: ЗАЯВЛЕНИЯ СПЕЦИАЛИСТОВ VS РЕАЛЬНЫЕ ФАКТЫ</t>
        </is>
      </c>
    </row>
    <row r="2" ht="28" customHeight="1">
      <c r="A2" s="24" t="inlineStr">
        <is>
          <t>№</t>
        </is>
      </c>
      <c r="B2" s="24" t="inlineStr">
        <is>
          <t>Ответственный спец</t>
        </is>
      </c>
      <c r="C2" s="24" t="inlineStr">
        <is>
          <t>Инфлюенсер</t>
        </is>
      </c>
      <c r="D2" s="24" t="inlineStr">
        <is>
          <t>Спец заявил: видео</t>
        </is>
      </c>
      <c r="E2" s="24" t="inlineStr">
        <is>
          <t>Факт в сетке (10-19ч)</t>
        </is>
      </c>
      <c r="F2" s="24" t="inlineStr">
        <is>
          <t>Разница (Факт - План)</t>
        </is>
      </c>
      <c r="G2" s="24" t="inlineStr">
        <is>
          <t>Спец заявил: баны</t>
        </is>
      </c>
      <c r="H2" s="24" t="inlineStr">
        <is>
          <t>Факт банов в сетке</t>
        </is>
      </c>
      <c r="I2" s="24" t="inlineStr">
        <is>
          <t>Статус сверки</t>
        </is>
      </c>
      <c r="J2" s="24" t="inlineStr">
        <is>
          <t>Штраф / Примечание</t>
        </is>
      </c>
    </row>
    <row r="3">
      <c r="A3" s="25" t="n">
        <v>1</v>
      </c>
      <c r="B3" s="26">
        <f>INDEX('📋 Детальный реестр'!C3:C8, 1)</f>
        <v/>
      </c>
      <c r="C3" s="9">
        <f>INDEX('📋 Детальный реестр'!B3:B8, 1)</f>
        <v/>
      </c>
      <c r="D3" s="25" t="n">
        <v>0</v>
      </c>
      <c r="E3" s="25">
        <f>SUM('📋 Детальный реестр'!H3:H8)</f>
        <v/>
      </c>
      <c r="F3" s="27">
        <f>E3-D3</f>
        <v/>
      </c>
      <c r="G3" s="25" t="n">
        <v>0</v>
      </c>
      <c r="H3" s="25">
        <f>COUNTIF('📋 Детальный реестр'!F3:F8, "БАН")</f>
        <v/>
      </c>
      <c r="I3" s="27">
        <f>IF(D3=0, "Ожидает отчета", IF(E3&gt;=D3, "🟢 Совпадает", IF(E3&lt;D3, "🔴 НАЕБ / НЕДОЛИВ", "🟡 Расхождение")))</f>
        <v/>
      </c>
      <c r="J3" s="26" t="inlineStr"/>
    </row>
    <row r="4">
      <c r="A4" s="28" t="n">
        <v>2</v>
      </c>
      <c r="B4" s="29">
        <f>INDEX('📋 Детальный реестр'!C9:C14, 1)</f>
        <v/>
      </c>
      <c r="C4" s="13">
        <f>INDEX('📋 Детальный реестр'!B9:B14, 1)</f>
        <v/>
      </c>
      <c r="D4" s="28" t="n">
        <v>0</v>
      </c>
      <c r="E4" s="28">
        <f>SUM('📋 Детальный реестр'!H9:H14)</f>
        <v/>
      </c>
      <c r="F4" s="30">
        <f>E4-D4</f>
        <v/>
      </c>
      <c r="G4" s="28" t="n">
        <v>0</v>
      </c>
      <c r="H4" s="28">
        <f>COUNTIF('📋 Детальный реестр'!F9:F14, "БАН")</f>
        <v/>
      </c>
      <c r="I4" s="30">
        <f>IF(D4=0, "Ожидает отчета", IF(E4&gt;=D4, "🟢 Совпадает", IF(E4&lt;D4, "🔴 НАЕБ / НЕДОЛИВ", "🟡 Расхождение")))</f>
        <v/>
      </c>
      <c r="J4" s="29" t="inlineStr"/>
    </row>
    <row r="5">
      <c r="A5" s="25" t="n">
        <v>3</v>
      </c>
      <c r="B5" s="26">
        <f>INDEX('📋 Детальный реестр'!C15:C20, 1)</f>
        <v/>
      </c>
      <c r="C5" s="9">
        <f>INDEX('📋 Детальный реестр'!B15:B20, 1)</f>
        <v/>
      </c>
      <c r="D5" s="25" t="n">
        <v>0</v>
      </c>
      <c r="E5" s="25">
        <f>SUM('📋 Детальный реестр'!H15:H20)</f>
        <v/>
      </c>
      <c r="F5" s="27">
        <f>E5-D5</f>
        <v/>
      </c>
      <c r="G5" s="25" t="n">
        <v>0</v>
      </c>
      <c r="H5" s="25">
        <f>COUNTIF('📋 Детальный реестр'!F15:F20, "БАН")</f>
        <v/>
      </c>
      <c r="I5" s="27">
        <f>IF(D5=0, "Ожидает отчета", IF(E5&gt;=D5, "🟢 Совпадает", IF(E5&lt;D5, "🔴 НАЕБ / НЕДОЛИВ", "🟡 Расхождение")))</f>
        <v/>
      </c>
      <c r="J5" s="26" t="inlineStr"/>
    </row>
    <row r="6">
      <c r="A6" s="28" t="n">
        <v>4</v>
      </c>
      <c r="B6" s="29">
        <f>INDEX('📋 Детальный реестр'!C21:C26, 1)</f>
        <v/>
      </c>
      <c r="C6" s="13">
        <f>INDEX('📋 Детальный реестр'!B21:B26, 1)</f>
        <v/>
      </c>
      <c r="D6" s="28" t="n">
        <v>0</v>
      </c>
      <c r="E6" s="28">
        <f>SUM('📋 Детальный реестр'!H21:H26)</f>
        <v/>
      </c>
      <c r="F6" s="30">
        <f>E6-D6</f>
        <v/>
      </c>
      <c r="G6" s="28" t="n">
        <v>0</v>
      </c>
      <c r="H6" s="28">
        <f>COUNTIF('📋 Детальный реестр'!F21:F26, "БАН")</f>
        <v/>
      </c>
      <c r="I6" s="30">
        <f>IF(D6=0, "Ожидает отчета", IF(E6&gt;=D6, "🟢 Совпадает", IF(E6&lt;D6, "🔴 НАЕБ / НЕДОЛИВ", "🟡 Расхождение")))</f>
        <v/>
      </c>
      <c r="J6" s="29" t="inlineStr"/>
    </row>
    <row r="7">
      <c r="A7" s="25" t="n">
        <v>5</v>
      </c>
      <c r="B7" s="26">
        <f>INDEX('📋 Детальный реестр'!C27:C32, 1)</f>
        <v/>
      </c>
      <c r="C7" s="9">
        <f>INDEX('📋 Детальный реестр'!B27:B32, 1)</f>
        <v/>
      </c>
      <c r="D7" s="25" t="n">
        <v>0</v>
      </c>
      <c r="E7" s="25">
        <f>SUM('📋 Детальный реестр'!H27:H32)</f>
        <v/>
      </c>
      <c r="F7" s="27">
        <f>E7-D7</f>
        <v/>
      </c>
      <c r="G7" s="25" t="n">
        <v>0</v>
      </c>
      <c r="H7" s="25">
        <f>COUNTIF('📋 Детальный реестр'!F27:F32, "БАН")</f>
        <v/>
      </c>
      <c r="I7" s="27">
        <f>IF(D7=0, "Ожидает отчета", IF(E7&gt;=D7, "🟢 Совпадает", IF(E7&lt;D7, "🔴 НАЕБ / НЕДОЛИВ", "🟡 Расхождение")))</f>
        <v/>
      </c>
      <c r="J7" s="26" t="inlineStr"/>
    </row>
    <row r="8">
      <c r="A8" s="28" t="n">
        <v>6</v>
      </c>
      <c r="B8" s="29">
        <f>INDEX('📋 Детальный реестр'!C33:C38, 1)</f>
        <v/>
      </c>
      <c r="C8" s="13">
        <f>INDEX('📋 Детальный реестр'!B33:B38, 1)</f>
        <v/>
      </c>
      <c r="D8" s="28" t="n">
        <v>0</v>
      </c>
      <c r="E8" s="28">
        <f>SUM('📋 Детальный реестр'!H33:H38)</f>
        <v/>
      </c>
      <c r="F8" s="30">
        <f>E8-D8</f>
        <v/>
      </c>
      <c r="G8" s="28" t="n">
        <v>0</v>
      </c>
      <c r="H8" s="28">
        <f>COUNTIF('📋 Детальный реестр'!F33:F38, "БАН")</f>
        <v/>
      </c>
      <c r="I8" s="30">
        <f>IF(D8=0, "Ожидает отчета", IF(E8&gt;=D8, "🟢 Совпадает", IF(E8&lt;D8, "🔴 НАЕБ / НЕДОЛИВ", "🟡 Расхождение")))</f>
        <v/>
      </c>
      <c r="J8" s="29" t="inlineStr"/>
    </row>
    <row r="9">
      <c r="A9" s="25" t="n">
        <v>7</v>
      </c>
      <c r="B9" s="26">
        <f>INDEX('📋 Детальный реестр'!C39:C44, 1)</f>
        <v/>
      </c>
      <c r="C9" s="9">
        <f>INDEX('📋 Детальный реестр'!B39:B44, 1)</f>
        <v/>
      </c>
      <c r="D9" s="25" t="n">
        <v>0</v>
      </c>
      <c r="E9" s="25">
        <f>SUM('📋 Детальный реестр'!H39:H44)</f>
        <v/>
      </c>
      <c r="F9" s="27">
        <f>E9-D9</f>
        <v/>
      </c>
      <c r="G9" s="25" t="n">
        <v>0</v>
      </c>
      <c r="H9" s="25">
        <f>COUNTIF('📋 Детальный реестр'!F39:F44, "БАН")</f>
        <v/>
      </c>
      <c r="I9" s="27">
        <f>IF(D9=0, "Ожидает отчета", IF(E9&gt;=D9, "🟢 Совпадает", IF(E9&lt;D9, "🔴 НАЕБ / НЕДОЛИВ", "🟡 Расхождение")))</f>
        <v/>
      </c>
      <c r="J9" s="26" t="inlineStr"/>
    </row>
    <row r="10">
      <c r="A10" s="28" t="n">
        <v>8</v>
      </c>
      <c r="B10" s="29">
        <f>INDEX('📋 Детальный реестр'!C45:C50, 1)</f>
        <v/>
      </c>
      <c r="C10" s="13">
        <f>INDEX('📋 Детальный реестр'!B45:B50, 1)</f>
        <v/>
      </c>
      <c r="D10" s="28" t="n">
        <v>0</v>
      </c>
      <c r="E10" s="28">
        <f>SUM('📋 Детальный реестр'!H45:H50)</f>
        <v/>
      </c>
      <c r="F10" s="30">
        <f>E10-D10</f>
        <v/>
      </c>
      <c r="G10" s="28" t="n">
        <v>0</v>
      </c>
      <c r="H10" s="28">
        <f>COUNTIF('📋 Детальный реестр'!F45:F50, "БАН")</f>
        <v/>
      </c>
      <c r="I10" s="30">
        <f>IF(D10=0, "Ожидает отчета", IF(E10&gt;=D10, "🟢 Совпадает", IF(E10&lt;D10, "🔴 НАЕБ / НЕДОЛИВ", "🟡 Расхождение")))</f>
        <v/>
      </c>
      <c r="J10" s="29" t="inlineStr"/>
    </row>
    <row r="11">
      <c r="A11" s="25" t="n">
        <v>9</v>
      </c>
      <c r="B11" s="26">
        <f>INDEX('📋 Детальный реестр'!C51:C56, 1)</f>
        <v/>
      </c>
      <c r="C11" s="9">
        <f>INDEX('📋 Детальный реестр'!B51:B56, 1)</f>
        <v/>
      </c>
      <c r="D11" s="25" t="n">
        <v>0</v>
      </c>
      <c r="E11" s="25">
        <f>SUM('📋 Детальный реестр'!H51:H56)</f>
        <v/>
      </c>
      <c r="F11" s="27">
        <f>E11-D11</f>
        <v/>
      </c>
      <c r="G11" s="25" t="n">
        <v>0</v>
      </c>
      <c r="H11" s="25">
        <f>COUNTIF('📋 Детальный реестр'!F51:F56, "БАН")</f>
        <v/>
      </c>
      <c r="I11" s="27">
        <f>IF(D11=0, "Ожидает отчета", IF(E11&gt;=D11, "🟢 Совпадает", IF(E11&lt;D11, "🔴 НАЕБ / НЕДОЛИВ", "🟡 Расхождение")))</f>
        <v/>
      </c>
      <c r="J11" s="26" t="inlineStr"/>
    </row>
    <row r="12">
      <c r="A12" s="28" t="n">
        <v>10</v>
      </c>
      <c r="B12" s="29">
        <f>INDEX('📋 Детальный реестр'!C57:C62, 1)</f>
        <v/>
      </c>
      <c r="C12" s="13">
        <f>INDEX('📋 Детальный реестр'!B57:B62, 1)</f>
        <v/>
      </c>
      <c r="D12" s="28" t="n">
        <v>0</v>
      </c>
      <c r="E12" s="28">
        <f>SUM('📋 Детальный реестр'!H57:H62)</f>
        <v/>
      </c>
      <c r="F12" s="30">
        <f>E12-D12</f>
        <v/>
      </c>
      <c r="G12" s="28" t="n">
        <v>0</v>
      </c>
      <c r="H12" s="28">
        <f>COUNTIF('📋 Детальный реестр'!F57:F62, "БАН")</f>
        <v/>
      </c>
      <c r="I12" s="30">
        <f>IF(D12=0, "Ожидает отчета", IF(E12&gt;=D12, "🟢 Совпадает", IF(E12&lt;D12, "🔴 НАЕБ / НЕДОЛИВ", "🟡 Расхождение")))</f>
        <v/>
      </c>
      <c r="J12" s="29" t="inlineStr"/>
    </row>
  </sheetData>
  <mergeCells count="1">
    <mergeCell ref="A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2026-09-07T10:30:27Z</dcterms:created>
  <dcterms:modified xmlns:dcterms="http://purl.org/dc/terms/" xmlns:xsi="http://www.w3.org/2001/XMLSchema-instance" xsi:type="dcterms:W3CDTF">2026-09-07T10:30:27Z</dcterms:modified>
</cp:coreProperties>
</file>